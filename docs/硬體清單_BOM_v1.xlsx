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硬體清單" sheetId="1" state="visible" r:id="rId3"/>
    <sheet name="簡報感測器取捨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4" authorId="0">
      <text>
        <r>
          <rPr>
            <sz val="10"/>
            <rFont val="Noto Sans CJK SC"/>
            <family val="2"/>
          </rPr>
          <t xml:space="preserve">課程原型建議值，可依預算調整</t>
        </r>
      </text>
    </comment>
  </commentList>
</comments>
</file>

<file path=xl/sharedStrings.xml><?xml version="1.0" encoding="utf-8"?>
<sst xmlns="http://schemas.openxmlformats.org/spreadsheetml/2006/main" count="210" uniqueCount="157">
  <si>
    <r>
      <rPr>
        <b val="true"/>
        <sz val="14"/>
        <rFont val="Noto Sans CJK SC"/>
        <family val="2"/>
      </rPr>
      <t xml:space="preserve">模組化智慧垃圾桶與動態巡收導引系統｜硬體清單（</t>
    </r>
    <r>
      <rPr>
        <b val="true"/>
        <sz val="14"/>
        <rFont val="Arial"/>
        <family val="0"/>
        <charset val="1"/>
      </rPr>
      <t xml:space="preserve">BOM</t>
    </r>
    <r>
      <rPr>
        <b val="true"/>
        <sz val="14"/>
        <rFont val="Noto Sans CJK SC"/>
        <family val="2"/>
      </rPr>
      <t xml:space="preserve">）</t>
    </r>
  </si>
  <si>
    <r>
      <rPr>
        <sz val="9"/>
        <color rgb="FF555555"/>
        <rFont val="Noto Sans CJK SC"/>
        <family val="2"/>
      </rPr>
      <t xml:space="preserve">參考價為 </t>
    </r>
    <r>
      <rPr>
        <sz val="9"/>
        <color rgb="FF555555"/>
        <rFont val="Arial"/>
        <family val="0"/>
        <charset val="1"/>
      </rPr>
      <t xml:space="preserve">2026/10 </t>
    </r>
    <r>
      <rPr>
        <sz val="9"/>
        <color rgb="FF555555"/>
        <rFont val="Noto Sans CJK SC"/>
        <family val="2"/>
      </rPr>
      <t xml:space="preserve">台灣零售估算（新台幣、含稅），實際以賣場報價為準。藍字＝可修改的輸入；黃底＝套數參數；黑字＝公式。</t>
    </r>
  </si>
  <si>
    <t xml:space="preserve">夾掛式感測節點 套數</t>
  </si>
  <si>
    <r>
      <rPr>
        <sz val="9"/>
        <color rgb="FF555555"/>
        <rFont val="Noto Sans CJK SC"/>
        <family val="2"/>
      </rPr>
      <t xml:space="preserve">建議：課程原型 </t>
    </r>
    <r>
      <rPr>
        <sz val="9"/>
        <color rgb="FF555555"/>
        <rFont val="Arial"/>
        <family val="0"/>
        <charset val="1"/>
      </rPr>
      <t xml:space="preserve">3 </t>
    </r>
    <r>
      <rPr>
        <sz val="9"/>
        <color rgb="FF555555"/>
        <rFont val="Noto Sans CJK SC"/>
        <family val="2"/>
      </rPr>
      <t xml:space="preserve">個桶裝感測節點，其中 </t>
    </r>
    <r>
      <rPr>
        <sz val="9"/>
        <color rgb="FF555555"/>
        <rFont val="Arial"/>
        <family val="0"/>
        <charset val="1"/>
      </rPr>
      <t xml:space="preserve">1 </t>
    </r>
    <r>
      <rPr>
        <sz val="9"/>
        <color rgb="FF555555"/>
        <rFont val="Noto Sans CJK SC"/>
        <family val="2"/>
      </rPr>
      <t xml:space="preserve">個加裝視覺閘門</t>
    </r>
  </si>
  <si>
    <t xml:space="preserve">邊緣視覺閘門 套數</t>
  </si>
  <si>
    <t xml:space="preserve">模組</t>
  </si>
  <si>
    <t xml:space="preserve">品項</t>
  </si>
  <si>
    <r>
      <rPr>
        <b val="true"/>
        <sz val="11"/>
        <color rgb="FFFFFFFF"/>
        <rFont val="Noto Sans CJK SC"/>
        <family val="2"/>
      </rPr>
      <t xml:space="preserve">規格 </t>
    </r>
    <r>
      <rPr>
        <b val="true"/>
        <sz val="11"/>
        <color rgb="FFFFFFFF"/>
        <rFont val="Arial"/>
        <family val="0"/>
        <charset val="1"/>
      </rPr>
      <t xml:space="preserve">/ </t>
    </r>
    <r>
      <rPr>
        <b val="true"/>
        <sz val="11"/>
        <color rgb="FFFFFFFF"/>
        <rFont val="Noto Sans CJK SC"/>
        <family val="2"/>
      </rPr>
      <t xml:space="preserve">建議型號</t>
    </r>
  </si>
  <si>
    <t xml:space="preserve">用途（對應簡報）</t>
  </si>
  <si>
    <t xml:space="preserve">每套數量</t>
  </si>
  <si>
    <t xml:space="preserve">套數</t>
  </si>
  <si>
    <t xml:space="preserve">總數量</t>
  </si>
  <si>
    <r>
      <rPr>
        <b val="true"/>
        <sz val="11"/>
        <color rgb="FFFFFFFF"/>
        <rFont val="Noto Sans CJK SC"/>
        <family val="2"/>
      </rPr>
      <t xml:space="preserve">單價 </t>
    </r>
    <r>
      <rPr>
        <b val="true"/>
        <sz val="11"/>
        <color rgb="FFFFFFFF"/>
        <rFont val="Arial"/>
        <family val="0"/>
        <charset val="1"/>
      </rPr>
      <t xml:space="preserve">(NT$)</t>
    </r>
  </si>
  <si>
    <r>
      <rPr>
        <b val="true"/>
        <sz val="11"/>
        <color rgb="FFFFFFFF"/>
        <rFont val="Noto Sans CJK SC"/>
        <family val="2"/>
      </rPr>
      <t xml:space="preserve">小計 </t>
    </r>
    <r>
      <rPr>
        <b val="true"/>
        <sz val="11"/>
        <color rgb="FFFFFFFF"/>
        <rFont val="Arial"/>
        <family val="0"/>
        <charset val="1"/>
      </rPr>
      <t xml:space="preserve">(NT$)</t>
    </r>
  </si>
  <si>
    <t xml:space="preserve">必要性</t>
  </si>
  <si>
    <r>
      <rPr>
        <b val="true"/>
        <sz val="11"/>
        <color rgb="FFFFFFFF"/>
        <rFont val="Noto Sans CJK SC"/>
        <family val="2"/>
      </rPr>
      <t xml:space="preserve">備註 </t>
    </r>
    <r>
      <rPr>
        <b val="true"/>
        <sz val="11"/>
        <color rgb="FFFFFFFF"/>
        <rFont val="Arial"/>
        <family val="0"/>
        <charset val="1"/>
      </rPr>
      <t xml:space="preserve">/ </t>
    </r>
    <r>
      <rPr>
        <b val="true"/>
        <sz val="11"/>
        <color rgb="FFFFFFFF"/>
        <rFont val="Noto Sans CJK SC"/>
        <family val="2"/>
      </rPr>
      <t xml:space="preserve">價格依據</t>
    </r>
  </si>
  <si>
    <r>
      <rPr>
        <b val="true"/>
        <sz val="11"/>
        <rFont val="Arial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夾掛式感測節點 </t>
    </r>
    <r>
      <rPr>
        <b val="true"/>
        <sz val="11"/>
        <rFont val="Arial"/>
        <family val="0"/>
        <charset val="1"/>
      </rPr>
      <t xml:space="preserve">Clip-On Sensor</t>
    </r>
  </si>
  <si>
    <t xml:space="preserve">A</t>
  </si>
  <si>
    <t xml:space="preserve">主控板</t>
  </si>
  <si>
    <t xml:space="preserve">Seeed XIAO ESP32C3</t>
  </si>
  <si>
    <r>
      <rPr>
        <sz val="11"/>
        <rFont val="Arial"/>
        <family val="0"/>
        <charset val="1"/>
      </rPr>
      <t xml:space="preserve">Wi-Fi/BLE</t>
    </r>
    <r>
      <rPr>
        <sz val="11"/>
        <rFont val="Noto Sans CJK SC"/>
        <family val="2"/>
      </rPr>
      <t xml:space="preserve">、深度睡眠約 </t>
    </r>
    <r>
      <rPr>
        <sz val="11"/>
        <rFont val="Arial"/>
        <family val="0"/>
        <charset val="1"/>
      </rPr>
      <t xml:space="preserve">44µA</t>
    </r>
    <r>
      <rPr>
        <sz val="11"/>
        <rFont val="Noto Sans CJK SC"/>
        <family val="2"/>
      </rPr>
      <t xml:space="preserve">、內建鋰電充電</t>
    </r>
  </si>
  <si>
    <t xml:space="preserve">必要</t>
  </si>
  <si>
    <t xml:space="preserve">體積小、可直接夾掛；省電關鍵</t>
  </si>
  <si>
    <t xml:space="preserve">液位感測</t>
  </si>
  <si>
    <r>
      <rPr>
        <sz val="11"/>
        <rFont val="Arial"/>
        <family val="0"/>
        <charset val="1"/>
      </rPr>
      <t xml:space="preserve">VL53L1X ToF </t>
    </r>
    <r>
      <rPr>
        <sz val="11"/>
        <rFont val="Noto Sans CJK SC"/>
        <family val="2"/>
      </rPr>
      <t xml:space="preserve">模組（</t>
    </r>
    <r>
      <rPr>
        <sz val="11"/>
        <rFont val="Arial"/>
        <family val="0"/>
        <charset val="1"/>
      </rPr>
      <t xml:space="preserve">GY-53L1X </t>
    </r>
    <r>
      <rPr>
        <sz val="11"/>
        <rFont val="Noto Sans CJK SC"/>
        <family val="2"/>
      </rPr>
      <t xml:space="preserve">或 </t>
    </r>
    <r>
      <rPr>
        <sz val="11"/>
        <rFont val="Arial"/>
        <family val="0"/>
        <charset val="1"/>
      </rPr>
      <t xml:space="preserve">Pololu #3415</t>
    </r>
    <r>
      <rPr>
        <sz val="11"/>
        <rFont val="Noto Sans CJK SC"/>
        <family val="2"/>
      </rPr>
      <t xml:space="preserve">）</t>
    </r>
  </si>
  <si>
    <r>
      <rPr>
        <sz val="11"/>
        <rFont val="Noto Sans CJK SC"/>
        <family val="2"/>
      </rPr>
      <t xml:space="preserve">量垃圾高度→滿溢百分比（取代 </t>
    </r>
    <r>
      <rPr>
        <sz val="11"/>
        <rFont val="Arial"/>
        <family val="0"/>
        <charset val="1"/>
      </rPr>
      <t xml:space="preserve">HC-SR04</t>
    </r>
    <r>
      <rPr>
        <sz val="11"/>
        <rFont val="Noto Sans CJK SC"/>
        <family val="2"/>
      </rPr>
      <t xml:space="preserve">）</t>
    </r>
  </si>
  <si>
    <r>
      <rPr>
        <sz val="11"/>
        <rFont val="Noto Sans CJK SC"/>
        <family val="2"/>
      </rPr>
      <t xml:space="preserve">雷射 </t>
    </r>
    <r>
      <rPr>
        <sz val="11"/>
        <rFont val="Arial"/>
        <family val="0"/>
        <charset val="1"/>
      </rPr>
      <t xml:space="preserve">ToF </t>
    </r>
    <r>
      <rPr>
        <sz val="11"/>
        <rFont val="Noto Sans CJK SC"/>
        <family val="2"/>
      </rPr>
      <t xml:space="preserve">不受垃圾顏色、角度影響、可縮小 </t>
    </r>
    <r>
      <rPr>
        <sz val="11"/>
        <rFont val="Arial"/>
        <family val="0"/>
        <charset val="1"/>
      </rPr>
      <t xml:space="preserve">ROI </t>
    </r>
    <r>
      <rPr>
        <sz val="11"/>
        <rFont val="Noto Sans CJK SC"/>
        <family val="2"/>
      </rPr>
      <t xml:space="preserve">避開桶壁（</t>
    </r>
    <r>
      <rPr>
        <sz val="11"/>
        <rFont val="Arial"/>
        <family val="0"/>
        <charset val="1"/>
      </rPr>
      <t xml:space="preserve">Challenge 1</t>
    </r>
    <r>
      <rPr>
        <sz val="11"/>
        <rFont val="Noto Sans CJK SC"/>
        <family val="2"/>
      </rPr>
      <t xml:space="preserve">）。晶片 </t>
    </r>
    <r>
      <rPr>
        <sz val="11"/>
        <rFont val="Arial"/>
        <family val="0"/>
        <charset val="1"/>
      </rPr>
      <t xml:space="preserve">RS </t>
    </r>
    <r>
      <rPr>
        <sz val="11"/>
        <rFont val="Noto Sans CJK SC"/>
        <family val="2"/>
      </rPr>
      <t xml:space="preserve">台灣 </t>
    </r>
    <r>
      <rPr>
        <sz val="11"/>
        <rFont val="Arial"/>
        <family val="0"/>
        <charset val="1"/>
      </rPr>
      <t xml:space="preserve">NT$168</t>
    </r>
    <r>
      <rPr>
        <sz val="11"/>
        <rFont val="Noto Sans CJK SC"/>
        <family val="2"/>
      </rPr>
      <t xml:space="preserve">、</t>
    </r>
    <r>
      <rPr>
        <sz val="11"/>
        <rFont val="Arial"/>
        <family val="0"/>
        <charset val="1"/>
      </rPr>
      <t xml:space="preserve">Pololu </t>
    </r>
    <r>
      <rPr>
        <sz val="11"/>
        <rFont val="Noto Sans CJK SC"/>
        <family val="2"/>
      </rPr>
      <t xml:space="preserve">模組 </t>
    </r>
    <r>
      <rPr>
        <sz val="11"/>
        <rFont val="Arial"/>
        <family val="0"/>
        <charset val="1"/>
      </rPr>
      <t xml:space="preserve">US$16.95</t>
    </r>
  </si>
  <si>
    <t xml:space="preserve">電池</t>
  </si>
  <si>
    <r>
      <rPr>
        <sz val="11"/>
        <rFont val="Arial"/>
        <family val="0"/>
        <charset val="1"/>
      </rPr>
      <t xml:space="preserve">18650 </t>
    </r>
    <r>
      <rPr>
        <sz val="11"/>
        <rFont val="Noto Sans CJK SC"/>
        <family val="2"/>
      </rPr>
      <t xml:space="preserve">鋰電池 </t>
    </r>
    <r>
      <rPr>
        <sz val="11"/>
        <rFont val="Arial"/>
        <family val="0"/>
        <charset val="1"/>
      </rPr>
      <t xml:space="preserve">3000mAh</t>
    </r>
  </si>
  <si>
    <t xml:space="preserve">節點供電</t>
  </si>
  <si>
    <r>
      <rPr>
        <sz val="11"/>
        <rFont val="Noto Sans CJK SC"/>
        <family val="2"/>
      </rPr>
      <t xml:space="preserve">兩顆並聯；以每 </t>
    </r>
    <r>
      <rPr>
        <sz val="11"/>
        <rFont val="Arial"/>
        <family val="0"/>
        <charset val="1"/>
      </rPr>
      <t xml:space="preserve">5 </t>
    </r>
    <r>
      <rPr>
        <sz val="11"/>
        <rFont val="Noto Sans CJK SC"/>
        <family val="2"/>
      </rPr>
      <t xml:space="preserve">分鐘量測、變化才上傳估算可撐數月，需實測</t>
    </r>
  </si>
  <si>
    <t xml:space="preserve">電池座</t>
  </si>
  <si>
    <r>
      <rPr>
        <sz val="11"/>
        <rFont val="Arial"/>
        <family val="0"/>
        <charset val="1"/>
      </rPr>
      <t xml:space="preserve">18650 </t>
    </r>
    <r>
      <rPr>
        <sz val="11"/>
        <rFont val="Noto Sans CJK SC"/>
        <family val="2"/>
      </rPr>
      <t xml:space="preserve">雙槽電池座（並聯）</t>
    </r>
    <r>
      <rPr>
        <sz val="11"/>
        <rFont val="Arial"/>
        <family val="0"/>
        <charset val="1"/>
      </rPr>
      <t xml:space="preserve">+ </t>
    </r>
    <r>
      <rPr>
        <sz val="11"/>
        <rFont val="Noto Sans CJK SC"/>
        <family val="2"/>
      </rPr>
      <t xml:space="preserve">保護板</t>
    </r>
  </si>
  <si>
    <t xml:space="preserve">電池保護</t>
  </si>
  <si>
    <t xml:space="preserve">防水盒</t>
  </si>
  <si>
    <r>
      <rPr>
        <sz val="11"/>
        <rFont val="Arial"/>
        <family val="0"/>
        <charset val="1"/>
      </rPr>
      <t xml:space="preserve">IP65 </t>
    </r>
    <r>
      <rPr>
        <sz val="11"/>
        <rFont val="Noto Sans CJK SC"/>
        <family val="2"/>
      </rPr>
      <t xml:space="preserve">接線盒 約 </t>
    </r>
    <r>
      <rPr>
        <sz val="11"/>
        <rFont val="Arial"/>
        <family val="0"/>
        <charset val="1"/>
      </rPr>
      <t xml:space="preserve">100×68×50 mm</t>
    </r>
  </si>
  <si>
    <t xml:space="preserve">戶外防水防塵</t>
  </si>
  <si>
    <t xml:space="preserve">感測保護窗</t>
  </si>
  <si>
    <r>
      <rPr>
        <sz val="11"/>
        <rFont val="Arial"/>
        <family val="0"/>
        <charset val="1"/>
      </rPr>
      <t xml:space="preserve">1 mm </t>
    </r>
    <r>
      <rPr>
        <sz val="11"/>
        <rFont val="Noto Sans CJK SC"/>
        <family val="2"/>
      </rPr>
      <t xml:space="preserve">薄玻璃或 </t>
    </r>
    <r>
      <rPr>
        <sz val="11"/>
        <rFont val="Arial"/>
        <family val="0"/>
        <charset val="1"/>
      </rPr>
      <t xml:space="preserve">PMMA + </t>
    </r>
    <r>
      <rPr>
        <sz val="11"/>
        <rFont val="Noto Sans CJK SC"/>
        <family val="2"/>
      </rPr>
      <t xml:space="preserve">疏水塗層</t>
    </r>
  </si>
  <si>
    <r>
      <rPr>
        <sz val="11"/>
        <rFont val="Noto Sans CJK SC"/>
        <family val="2"/>
      </rPr>
      <t xml:space="preserve">防髒污</t>
    </r>
    <r>
      <rPr>
        <sz val="11"/>
        <rFont val="Arial"/>
        <family val="0"/>
        <charset val="1"/>
      </rPr>
      <t xml:space="preserve">/</t>
    </r>
    <r>
      <rPr>
        <sz val="11"/>
        <rFont val="Noto Sans CJK SC"/>
        <family val="2"/>
      </rPr>
      <t xml:space="preserve">液體遮擋（</t>
    </r>
    <r>
      <rPr>
        <sz val="11"/>
        <rFont val="Arial"/>
        <family val="0"/>
        <charset val="1"/>
      </rPr>
      <t xml:space="preserve">Challenge 2</t>
    </r>
    <r>
      <rPr>
        <sz val="11"/>
        <rFont val="Noto Sans CJK SC"/>
        <family val="2"/>
      </rPr>
      <t xml:space="preserve">）</t>
    </r>
  </si>
  <si>
    <r>
      <rPr>
        <sz val="11"/>
        <rFont val="Noto Sans CJK SC"/>
        <family val="2"/>
      </rPr>
      <t xml:space="preserve">加窗後須做 </t>
    </r>
    <r>
      <rPr>
        <sz val="11"/>
        <rFont val="Arial"/>
        <family val="0"/>
        <charset val="1"/>
      </rPr>
      <t xml:space="preserve">ToF crosstalk </t>
    </r>
    <r>
      <rPr>
        <sz val="11"/>
        <rFont val="Noto Sans CJK SC"/>
        <family val="2"/>
      </rPr>
      <t xml:space="preserve">校正</t>
    </r>
  </si>
  <si>
    <t xml:space="preserve">夾掛支架</t>
  </si>
  <si>
    <r>
      <rPr>
        <sz val="11"/>
        <rFont val="Arial"/>
        <family val="0"/>
        <charset val="1"/>
      </rPr>
      <t xml:space="preserve">3D </t>
    </r>
    <r>
      <rPr>
        <sz val="11"/>
        <rFont val="Noto Sans CJK SC"/>
        <family val="2"/>
      </rPr>
      <t xml:space="preserve">列印（</t>
    </r>
    <r>
      <rPr>
        <sz val="11"/>
        <rFont val="Arial"/>
        <family val="0"/>
        <charset val="1"/>
      </rPr>
      <t xml:space="preserve">PETG / ASA </t>
    </r>
    <r>
      <rPr>
        <sz val="11"/>
        <rFont val="Noto Sans CJK SC"/>
        <family val="2"/>
      </rPr>
      <t xml:space="preserve">耐 </t>
    </r>
    <r>
      <rPr>
        <sz val="11"/>
        <rFont val="Arial"/>
        <family val="0"/>
        <charset val="1"/>
      </rPr>
      <t xml:space="preserve">UV</t>
    </r>
    <r>
      <rPr>
        <sz val="11"/>
        <rFont val="Noto Sans CJK SC"/>
        <family val="2"/>
      </rPr>
      <t xml:space="preserve">）</t>
    </r>
  </si>
  <si>
    <r>
      <rPr>
        <sz val="11"/>
        <rFont val="Noto Sans CJK SC"/>
        <family val="2"/>
      </rPr>
      <t xml:space="preserve">免改桶、直接夾在既有垃圾桶口（</t>
    </r>
    <r>
      <rPr>
        <sz val="11"/>
        <rFont val="Arial"/>
        <family val="0"/>
        <charset val="1"/>
      </rPr>
      <t xml:space="preserve">Modular Retrofit</t>
    </r>
    <r>
      <rPr>
        <sz val="11"/>
        <rFont val="Noto Sans CJK SC"/>
        <family val="2"/>
      </rPr>
      <t xml:space="preserve">）</t>
    </r>
  </si>
  <si>
    <r>
      <rPr>
        <sz val="11"/>
        <rFont val="Noto Sans CJK SC"/>
        <family val="2"/>
      </rPr>
      <t xml:space="preserve">可用系上 </t>
    </r>
    <r>
      <rPr>
        <sz val="11"/>
        <rFont val="Arial"/>
        <family val="0"/>
        <charset val="1"/>
      </rPr>
      <t xml:space="preserve">3D </t>
    </r>
    <r>
      <rPr>
        <sz val="11"/>
        <rFont val="Noto Sans CJK SC"/>
        <family val="2"/>
      </rPr>
      <t xml:space="preserve">印表機</t>
    </r>
  </si>
  <si>
    <t xml:space="preserve">小零件包</t>
  </si>
  <si>
    <r>
      <rPr>
        <sz val="11"/>
        <rFont val="Arial"/>
        <family val="0"/>
        <charset val="1"/>
      </rPr>
      <t xml:space="preserve">AO3401 P-MOSFET</t>
    </r>
    <r>
      <rPr>
        <sz val="11"/>
        <rFont val="Noto Sans CJK SC"/>
        <family val="2"/>
      </rPr>
      <t xml:space="preserve">、</t>
    </r>
    <r>
      <rPr>
        <sz val="11"/>
        <rFont val="Arial"/>
        <family val="0"/>
        <charset val="1"/>
      </rPr>
      <t xml:space="preserve">200kΩ×2</t>
    </r>
    <r>
      <rPr>
        <sz val="11"/>
        <rFont val="Noto Sans CJK SC"/>
        <family val="2"/>
      </rPr>
      <t xml:space="preserve">（電池分壓）、</t>
    </r>
    <r>
      <rPr>
        <sz val="11"/>
        <rFont val="Arial"/>
        <family val="0"/>
        <charset val="1"/>
      </rPr>
      <t xml:space="preserve">100µF </t>
    </r>
    <r>
      <rPr>
        <sz val="11"/>
        <rFont val="Noto Sans CJK SC"/>
        <family val="2"/>
      </rPr>
      <t xml:space="preserve">電容、端子台</t>
    </r>
  </si>
  <si>
    <t xml:space="preserve">感測器斷電省電、量電池電壓</t>
  </si>
  <si>
    <t xml:space="preserve">秤重</t>
  </si>
  <si>
    <r>
      <rPr>
        <sz val="11"/>
        <rFont val="Arial"/>
        <family val="0"/>
        <charset val="1"/>
      </rPr>
      <t xml:space="preserve">HX711 + 50kg </t>
    </r>
    <r>
      <rPr>
        <sz val="11"/>
        <rFont val="Noto Sans CJK SC"/>
        <family val="2"/>
      </rPr>
      <t xml:space="preserve">半橋荷重元 </t>
    </r>
    <r>
      <rPr>
        <sz val="11"/>
        <rFont val="Arial"/>
        <family val="0"/>
        <charset val="1"/>
      </rPr>
      <t xml:space="preserve">×4</t>
    </r>
  </si>
  <si>
    <r>
      <rPr>
        <sz val="11"/>
        <rFont val="Noto Sans CJK SC"/>
        <family val="2"/>
      </rPr>
      <t xml:space="preserve">重量</t>
    </r>
    <r>
      <rPr>
        <sz val="11"/>
        <rFont val="Arial"/>
        <family val="0"/>
        <charset val="1"/>
      </rPr>
      <t xml:space="preserve">×</t>
    </r>
    <r>
      <rPr>
        <sz val="11"/>
        <rFont val="Noto Sans CJK SC"/>
        <family val="2"/>
      </rPr>
      <t xml:space="preserve">高度融合，降低誤判（</t>
    </r>
    <r>
      <rPr>
        <sz val="11"/>
        <rFont val="Arial"/>
        <family val="0"/>
        <charset val="1"/>
      </rPr>
      <t xml:space="preserve">Challenge 1</t>
    </r>
    <r>
      <rPr>
        <sz val="11"/>
        <rFont val="Noto Sans CJK SC"/>
        <family val="2"/>
      </rPr>
      <t xml:space="preserve">）</t>
    </r>
  </si>
  <si>
    <t xml:space="preserve">選配</t>
  </si>
  <si>
    <t xml:space="preserve">第二階段；需裝在內桶下方</t>
  </si>
  <si>
    <t xml:space="preserve">太陽能</t>
  </si>
  <si>
    <r>
      <rPr>
        <sz val="11"/>
        <rFont val="Arial"/>
        <family val="0"/>
        <charset val="1"/>
      </rPr>
      <t xml:space="preserve">6V 2W </t>
    </r>
    <r>
      <rPr>
        <sz val="11"/>
        <rFont val="Noto Sans CJK SC"/>
        <family val="2"/>
      </rPr>
      <t xml:space="preserve">太陽能板 </t>
    </r>
    <r>
      <rPr>
        <sz val="11"/>
        <rFont val="Arial"/>
        <family val="0"/>
        <charset val="1"/>
      </rPr>
      <t xml:space="preserve">+ CN3791 </t>
    </r>
    <r>
      <rPr>
        <sz val="11"/>
        <rFont val="Noto Sans CJK SC"/>
        <family val="2"/>
      </rPr>
      <t xml:space="preserve">充電板</t>
    </r>
  </si>
  <si>
    <r>
      <rPr>
        <sz val="11"/>
        <rFont val="Noto Sans CJK SC"/>
        <family val="2"/>
      </rPr>
      <t xml:space="preserve">戶外免換電池（</t>
    </r>
    <r>
      <rPr>
        <sz val="11"/>
        <rFont val="Arial"/>
        <family val="0"/>
        <charset val="1"/>
      </rPr>
      <t xml:space="preserve">Challenge 5</t>
    </r>
    <r>
      <rPr>
        <sz val="11"/>
        <rFont val="Noto Sans CJK SC"/>
        <family val="2"/>
      </rPr>
      <t xml:space="preserve">）</t>
    </r>
  </si>
  <si>
    <t xml:space="preserve">環境</t>
  </si>
  <si>
    <r>
      <rPr>
        <sz val="11"/>
        <rFont val="Arial"/>
        <family val="0"/>
        <charset val="1"/>
      </rPr>
      <t xml:space="preserve">BME680</t>
    </r>
    <r>
      <rPr>
        <sz val="11"/>
        <rFont val="Noto Sans CJK SC"/>
        <family val="2"/>
      </rPr>
      <t xml:space="preserve">（</t>
    </r>
    <r>
      <rPr>
        <sz val="11"/>
        <rFont val="Arial"/>
        <family val="0"/>
        <charset val="1"/>
      </rPr>
      <t xml:space="preserve">VOC</t>
    </r>
    <r>
      <rPr>
        <sz val="11"/>
        <rFont val="Noto Sans CJK SC"/>
        <family val="2"/>
      </rPr>
      <t xml:space="preserve">、溫濕度）</t>
    </r>
  </si>
  <si>
    <r>
      <rPr>
        <sz val="11"/>
        <rFont val="Noto Sans CJK SC"/>
        <family val="2"/>
      </rPr>
      <t xml:space="preserve">異味</t>
    </r>
    <r>
      <rPr>
        <sz val="11"/>
        <rFont val="Arial"/>
        <family val="0"/>
        <charset val="1"/>
      </rPr>
      <t xml:space="preserve">/</t>
    </r>
    <r>
      <rPr>
        <sz val="11"/>
        <rFont val="Noto Sans CJK SC"/>
        <family val="2"/>
      </rPr>
      <t xml:space="preserve">腐敗監測（</t>
    </r>
    <r>
      <rPr>
        <sz val="11"/>
        <rFont val="Arial"/>
        <family val="0"/>
        <charset val="1"/>
      </rPr>
      <t xml:space="preserve">Paper 1 </t>
    </r>
    <r>
      <rPr>
        <sz val="11"/>
        <rFont val="Noto Sans CJK SC"/>
        <family val="2"/>
      </rPr>
      <t xml:space="preserve">有用）</t>
    </r>
  </si>
  <si>
    <t xml:space="preserve">不影響派車決策，研究用</t>
  </si>
  <si>
    <r>
      <rPr>
        <sz val="11"/>
        <rFont val="Noto Sans CJK SC"/>
        <family val="2"/>
      </rPr>
      <t xml:space="preserve">火焰</t>
    </r>
    <r>
      <rPr>
        <sz val="11"/>
        <rFont val="Arial"/>
        <family val="0"/>
        <charset val="1"/>
      </rPr>
      <t xml:space="preserve">/</t>
    </r>
    <r>
      <rPr>
        <sz val="11"/>
        <rFont val="Noto Sans CJK SC"/>
        <family val="2"/>
      </rPr>
      <t xml:space="preserve">煙霧</t>
    </r>
  </si>
  <si>
    <r>
      <rPr>
        <sz val="11"/>
        <rFont val="Arial"/>
        <family val="0"/>
        <charset val="1"/>
      </rPr>
      <t xml:space="preserve">MQ-2 </t>
    </r>
    <r>
      <rPr>
        <sz val="11"/>
        <rFont val="Noto Sans CJK SC"/>
        <family val="2"/>
      </rPr>
      <t xml:space="preserve">或紅外火焰感測模組</t>
    </r>
  </si>
  <si>
    <t xml:space="preserve">菸蒂引燃警報</t>
  </si>
  <si>
    <t xml:space="preserve">吸菸熱點才裝</t>
  </si>
  <si>
    <r>
      <rPr>
        <b val="true"/>
        <sz val="11"/>
        <rFont val="Arial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邊緣視覺閘門 </t>
    </r>
    <r>
      <rPr>
        <b val="true"/>
        <sz val="11"/>
        <rFont val="Arial"/>
        <family val="0"/>
        <charset val="1"/>
      </rPr>
      <t xml:space="preserve">Edge Vision Shutter</t>
    </r>
  </si>
  <si>
    <t xml:space="preserve">B</t>
  </si>
  <si>
    <t xml:space="preserve">主機</t>
  </si>
  <si>
    <r>
      <rPr>
        <sz val="11"/>
        <rFont val="Arial"/>
        <family val="0"/>
        <charset val="1"/>
      </rPr>
      <t xml:space="preserve">Raspberry Pi Zero 2 W</t>
    </r>
    <r>
      <rPr>
        <sz val="11"/>
        <rFont val="Noto Sans CJK SC"/>
        <family val="2"/>
      </rPr>
      <t xml:space="preserve">（含排針）</t>
    </r>
  </si>
  <si>
    <t xml:space="preserve">控制閘門、上傳事件</t>
  </si>
  <si>
    <r>
      <rPr>
        <sz val="11"/>
        <rFont val="Noto Sans CJK SC"/>
        <family val="2"/>
      </rPr>
      <t xml:space="preserve">不建議 </t>
    </r>
    <r>
      <rPr>
        <sz val="11"/>
        <rFont val="Arial"/>
        <family val="0"/>
        <charset val="1"/>
      </rPr>
      <t xml:space="preserve">Pi 5</t>
    </r>
    <r>
      <rPr>
        <sz val="11"/>
        <rFont val="Noto Sans CJK SC"/>
        <family val="2"/>
      </rPr>
      <t xml:space="preserve">：</t>
    </r>
    <r>
      <rPr>
        <sz val="11"/>
        <rFont val="Arial"/>
        <family val="0"/>
        <charset val="1"/>
      </rPr>
      <t xml:space="preserve">2026 </t>
    </r>
    <r>
      <rPr>
        <sz val="11"/>
        <rFont val="Noto Sans CJK SC"/>
        <family val="2"/>
      </rPr>
      <t xml:space="preserve">年因記憶體漲價，</t>
    </r>
    <r>
      <rPr>
        <sz val="11"/>
        <rFont val="Arial"/>
        <family val="0"/>
        <charset val="1"/>
      </rPr>
      <t xml:space="preserve">4GB </t>
    </r>
    <r>
      <rPr>
        <sz val="11"/>
        <rFont val="Noto Sans CJK SC"/>
        <family val="2"/>
      </rPr>
      <t xml:space="preserve">版牌價已調至約 </t>
    </r>
    <r>
      <rPr>
        <sz val="11"/>
        <rFont val="Arial"/>
        <family val="0"/>
        <charset val="1"/>
      </rPr>
      <t xml:space="preserve">US$110</t>
    </r>
    <r>
      <rPr>
        <sz val="11"/>
        <rFont val="Noto Sans CJK SC"/>
        <family val="2"/>
      </rPr>
      <t xml:space="preserve">，且本案推論不在 </t>
    </r>
    <r>
      <rPr>
        <sz val="11"/>
        <rFont val="Arial"/>
        <family val="0"/>
        <charset val="1"/>
      </rPr>
      <t xml:space="preserve">Pi </t>
    </r>
    <r>
      <rPr>
        <sz val="11"/>
        <rFont val="Noto Sans CJK SC"/>
        <family val="2"/>
      </rPr>
      <t xml:space="preserve">上做</t>
    </r>
  </si>
  <si>
    <r>
      <rPr>
        <sz val="11"/>
        <rFont val="Arial"/>
        <family val="0"/>
        <charset val="1"/>
      </rPr>
      <t xml:space="preserve">AI </t>
    </r>
    <r>
      <rPr>
        <sz val="11"/>
        <rFont val="Noto Sans CJK SC"/>
        <family val="2"/>
      </rPr>
      <t xml:space="preserve">攝影機</t>
    </r>
  </si>
  <si>
    <r>
      <rPr>
        <sz val="11"/>
        <rFont val="Arial"/>
        <family val="0"/>
        <charset val="1"/>
      </rPr>
      <t xml:space="preserve">Raspberry Pi AI Camera</t>
    </r>
    <r>
      <rPr>
        <sz val="11"/>
        <rFont val="Noto Sans CJK SC"/>
        <family val="2"/>
      </rPr>
      <t xml:space="preserve">（</t>
    </r>
    <r>
      <rPr>
        <sz val="11"/>
        <rFont val="Arial"/>
        <family val="0"/>
        <charset val="1"/>
      </rPr>
      <t xml:space="preserve">Sony IMX500</t>
    </r>
    <r>
      <rPr>
        <sz val="11"/>
        <rFont val="Noto Sans CJK SC"/>
        <family val="2"/>
      </rPr>
      <t xml:space="preserve">，附排線）</t>
    </r>
  </si>
  <si>
    <r>
      <rPr>
        <sz val="11"/>
        <rFont val="Noto Sans CJK SC"/>
        <family val="2"/>
      </rPr>
      <t xml:space="preserve">在感光元件上跑 </t>
    </r>
    <r>
      <rPr>
        <sz val="11"/>
        <rFont val="Arial"/>
        <family val="0"/>
        <charset val="1"/>
      </rPr>
      <t xml:space="preserve">YOLO</t>
    </r>
    <r>
      <rPr>
        <sz val="11"/>
        <rFont val="Noto Sans CJK SC"/>
        <family val="2"/>
      </rPr>
      <t xml:space="preserve">：拒收大袋＋地面傾倒偵測</t>
    </r>
  </si>
  <si>
    <r>
      <rPr>
        <sz val="11"/>
        <rFont val="Noto Sans CJK SC"/>
        <family val="2"/>
      </rPr>
      <t xml:space="preserve">牌價 </t>
    </r>
    <r>
      <rPr>
        <sz val="11"/>
        <rFont val="Arial"/>
        <family val="0"/>
        <charset val="1"/>
      </rPr>
      <t xml:space="preserve">US$70</t>
    </r>
    <r>
      <rPr>
        <sz val="11"/>
        <rFont val="Noto Sans CJK SC"/>
        <family val="2"/>
      </rPr>
      <t xml:space="preserve">，約 </t>
    </r>
    <r>
      <rPr>
        <sz val="11"/>
        <rFont val="Arial"/>
        <family val="0"/>
        <charset val="1"/>
      </rPr>
      <t xml:space="preserve">NT$2,300</t>
    </r>
    <r>
      <rPr>
        <sz val="11"/>
        <rFont val="Noto Sans CJK SC"/>
        <family val="2"/>
      </rPr>
      <t xml:space="preserve">（</t>
    </r>
    <r>
      <rPr>
        <sz val="11"/>
        <rFont val="Arial"/>
        <family val="0"/>
        <charset val="1"/>
      </rPr>
      <t xml:space="preserve">T</t>
    </r>
    <r>
      <rPr>
        <sz val="11"/>
        <rFont val="Noto Sans CJK SC"/>
        <family val="2"/>
      </rPr>
      <t xml:space="preserve">客邦）；附各型 </t>
    </r>
    <r>
      <rPr>
        <sz val="11"/>
        <rFont val="Arial"/>
        <family val="0"/>
        <charset val="1"/>
      </rPr>
      <t xml:space="preserve">Pi </t>
    </r>
    <r>
      <rPr>
        <sz val="11"/>
        <rFont val="Noto Sans CJK SC"/>
        <family val="2"/>
      </rPr>
      <t xml:space="preserve">用排線</t>
    </r>
  </si>
  <si>
    <t xml:space="preserve">儲存</t>
  </si>
  <si>
    <t xml:space="preserve">microSD 32GB A1</t>
  </si>
  <si>
    <t xml:space="preserve">系統碟</t>
  </si>
  <si>
    <t xml:space="preserve">閘門致動</t>
  </si>
  <si>
    <r>
      <rPr>
        <sz val="11"/>
        <rFont val="Arial"/>
        <family val="0"/>
        <charset val="1"/>
      </rPr>
      <t xml:space="preserve">MG90S </t>
    </r>
    <r>
      <rPr>
        <sz val="11"/>
        <rFont val="Noto Sans CJK SC"/>
        <family val="2"/>
      </rPr>
      <t xml:space="preserve">金屬齒伺服馬達</t>
    </r>
  </si>
  <si>
    <t xml:space="preserve">驅動投入口擋板</t>
  </si>
  <si>
    <r>
      <rPr>
        <sz val="11"/>
        <rFont val="Noto Sans CJK SC"/>
        <family val="2"/>
      </rPr>
      <t xml:space="preserve">擋板較重改 </t>
    </r>
    <r>
      <rPr>
        <sz val="11"/>
        <rFont val="Arial"/>
        <family val="0"/>
        <charset val="1"/>
      </rPr>
      <t xml:space="preserve">MG996R</t>
    </r>
    <r>
      <rPr>
        <sz val="11"/>
        <rFont val="Noto Sans CJK SC"/>
        <family val="2"/>
      </rPr>
      <t xml:space="preserve">（約 </t>
    </r>
    <r>
      <rPr>
        <sz val="11"/>
        <rFont val="Arial"/>
        <family val="0"/>
        <charset val="1"/>
      </rPr>
      <t xml:space="preserve">NT$250</t>
    </r>
    <r>
      <rPr>
        <sz val="11"/>
        <rFont val="Noto Sans CJK SC"/>
        <family val="2"/>
      </rPr>
      <t xml:space="preserve">）</t>
    </r>
  </si>
  <si>
    <t xml:space="preserve">指示</t>
  </si>
  <si>
    <r>
      <rPr>
        <sz val="11"/>
        <rFont val="Noto Sans CJK SC"/>
        <family val="2"/>
      </rPr>
      <t xml:space="preserve">紅</t>
    </r>
    <r>
      <rPr>
        <sz val="11"/>
        <rFont val="Arial"/>
        <family val="0"/>
        <charset val="1"/>
      </rPr>
      <t xml:space="preserve">/</t>
    </r>
    <r>
      <rPr>
        <sz val="11"/>
        <rFont val="Noto Sans CJK SC"/>
        <family val="2"/>
      </rPr>
      <t xml:space="preserve">綠 </t>
    </r>
    <r>
      <rPr>
        <sz val="11"/>
        <rFont val="Arial"/>
        <family val="0"/>
        <charset val="1"/>
      </rPr>
      <t xml:space="preserve">LED</t>
    </r>
    <r>
      <rPr>
        <sz val="11"/>
        <rFont val="Noto Sans CJK SC"/>
        <family val="2"/>
      </rPr>
      <t xml:space="preserve">、</t>
    </r>
    <r>
      <rPr>
        <sz val="11"/>
        <rFont val="Arial"/>
        <family val="0"/>
        <charset val="1"/>
      </rPr>
      <t xml:space="preserve">220Ω</t>
    </r>
    <r>
      <rPr>
        <sz val="11"/>
        <rFont val="Noto Sans CJK SC"/>
        <family val="2"/>
      </rPr>
      <t xml:space="preserve">、蜂鳴器</t>
    </r>
  </si>
  <si>
    <r>
      <rPr>
        <sz val="11"/>
        <rFont val="Noto Sans CJK SC"/>
        <family val="2"/>
      </rPr>
      <t xml:space="preserve">可投入</t>
    </r>
    <r>
      <rPr>
        <sz val="11"/>
        <rFont val="Arial"/>
        <family val="0"/>
        <charset val="1"/>
      </rPr>
      <t xml:space="preserve">/</t>
    </r>
    <r>
      <rPr>
        <sz val="11"/>
        <rFont val="Noto Sans CJK SC"/>
        <family val="2"/>
      </rPr>
      <t xml:space="preserve">拒收提示</t>
    </r>
  </si>
  <si>
    <t xml:space="preserve">電源</t>
  </si>
  <si>
    <r>
      <rPr>
        <sz val="11"/>
        <rFont val="Arial"/>
        <family val="0"/>
        <charset val="1"/>
      </rPr>
      <t xml:space="preserve">5V 2.5A micro-USB </t>
    </r>
    <r>
      <rPr>
        <sz val="11"/>
        <rFont val="Noto Sans CJK SC"/>
        <family val="2"/>
      </rPr>
      <t xml:space="preserve">電源</t>
    </r>
  </si>
  <si>
    <r>
      <rPr>
        <sz val="11"/>
        <rFont val="Noto Sans CJK SC"/>
        <family val="2"/>
      </rPr>
      <t xml:space="preserve">主機＋攝影機供電（約 </t>
    </r>
    <r>
      <rPr>
        <sz val="11"/>
        <rFont val="Arial"/>
        <family val="0"/>
        <charset val="1"/>
      </rPr>
      <t xml:space="preserve">1.5–2.5 W</t>
    </r>
    <r>
      <rPr>
        <sz val="11"/>
        <rFont val="Noto Sans CJK SC"/>
        <family val="2"/>
      </rPr>
      <t xml:space="preserve">，需實測）</t>
    </r>
  </si>
  <si>
    <t xml:space="preserve">戶外建議接路燈或店家電源</t>
  </si>
  <si>
    <t xml:space="preserve">外殼</t>
  </si>
  <si>
    <r>
      <rPr>
        <sz val="11"/>
        <rFont val="Arial"/>
        <family val="0"/>
        <charset val="1"/>
      </rPr>
      <t xml:space="preserve">IP65 </t>
    </r>
    <r>
      <rPr>
        <sz val="11"/>
        <rFont val="Noto Sans CJK SC"/>
        <family val="2"/>
      </rPr>
      <t xml:space="preserve">外殼 </t>
    </r>
    <r>
      <rPr>
        <sz val="11"/>
        <rFont val="Arial"/>
        <family val="0"/>
        <charset val="1"/>
      </rPr>
      <t xml:space="preserve">+ </t>
    </r>
    <r>
      <rPr>
        <sz val="11"/>
        <rFont val="Noto Sans CJK SC"/>
        <family val="2"/>
      </rPr>
      <t xml:space="preserve">攝影機觀景窗</t>
    </r>
  </si>
  <si>
    <t xml:space="preserve">防水</t>
  </si>
  <si>
    <t xml:space="preserve">散熱</t>
  </si>
  <si>
    <r>
      <rPr>
        <sz val="11"/>
        <rFont val="Arial"/>
        <family val="0"/>
        <charset val="1"/>
      </rPr>
      <t xml:space="preserve">Pi Zero </t>
    </r>
    <r>
      <rPr>
        <sz val="11"/>
        <rFont val="Noto Sans CJK SC"/>
        <family val="2"/>
      </rPr>
      <t xml:space="preserve">散熱片</t>
    </r>
  </si>
  <si>
    <t xml:space="preserve">密閉外殼內降溫</t>
  </si>
  <si>
    <t xml:space="preserve">投入口擋板</t>
  </si>
  <si>
    <r>
      <rPr>
        <sz val="11"/>
        <rFont val="Noto Sans CJK SC"/>
        <family val="2"/>
      </rPr>
      <t xml:space="preserve">壓克力板 </t>
    </r>
    <r>
      <rPr>
        <sz val="11"/>
        <rFont val="Arial"/>
        <family val="0"/>
        <charset val="1"/>
      </rPr>
      <t xml:space="preserve">+ </t>
    </r>
    <r>
      <rPr>
        <sz val="11"/>
        <rFont val="Noto Sans CJK SC"/>
        <family val="2"/>
      </rPr>
      <t xml:space="preserve">鉸鍊 </t>
    </r>
    <r>
      <rPr>
        <sz val="11"/>
        <rFont val="Arial"/>
        <family val="0"/>
        <charset val="1"/>
      </rPr>
      <t xml:space="preserve">+ </t>
    </r>
    <r>
      <rPr>
        <sz val="11"/>
        <rFont val="Noto Sans CJK SC"/>
        <family val="2"/>
      </rPr>
      <t xml:space="preserve">限位</t>
    </r>
  </si>
  <si>
    <t xml:space="preserve">只開小口給隨手垃圾</t>
  </si>
  <si>
    <t xml:space="preserve">離網電源</t>
  </si>
  <si>
    <r>
      <rPr>
        <sz val="11"/>
        <rFont val="Arial"/>
        <family val="0"/>
        <charset val="1"/>
      </rPr>
      <t xml:space="preserve">20W </t>
    </r>
    <r>
      <rPr>
        <sz val="11"/>
        <rFont val="Noto Sans CJK SC"/>
        <family val="2"/>
      </rPr>
      <t xml:space="preserve">太陽能板 </t>
    </r>
    <r>
      <rPr>
        <sz val="11"/>
        <rFont val="Arial"/>
        <family val="0"/>
        <charset val="1"/>
      </rPr>
      <t xml:space="preserve">+ 12V 6Ah LiFePO4 + </t>
    </r>
    <r>
      <rPr>
        <sz val="11"/>
        <rFont val="Noto Sans CJK SC"/>
        <family val="2"/>
      </rPr>
      <t xml:space="preserve">控制器 </t>
    </r>
    <r>
      <rPr>
        <sz val="11"/>
        <rFont val="Arial"/>
        <family val="0"/>
        <charset val="1"/>
      </rPr>
      <t xml:space="preserve">+ 12→5V </t>
    </r>
    <r>
      <rPr>
        <sz val="11"/>
        <rFont val="Noto Sans CJK SC"/>
        <family val="2"/>
      </rPr>
      <t xml:space="preserve">降壓</t>
    </r>
  </si>
  <si>
    <t xml:space="preserve">無市電點位</t>
  </si>
  <si>
    <t xml:space="preserve">臺北冬季日照弱，優先找市電</t>
  </si>
  <si>
    <r>
      <rPr>
        <b val="true"/>
        <sz val="11"/>
        <rFont val="Arial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通訊升級（選配）</t>
    </r>
  </si>
  <si>
    <t xml:space="preserve">C</t>
  </si>
  <si>
    <t xml:space="preserve">NB-IoT / Cat-M</t>
  </si>
  <si>
    <r>
      <rPr>
        <sz val="11"/>
        <rFont val="Arial"/>
        <family val="0"/>
        <charset val="1"/>
      </rPr>
      <t xml:space="preserve">SIM7080G </t>
    </r>
    <r>
      <rPr>
        <sz val="11"/>
        <rFont val="Noto Sans CJK SC"/>
        <family val="2"/>
      </rPr>
      <t xml:space="preserve">模組（如 </t>
    </r>
    <r>
      <rPr>
        <sz val="11"/>
        <rFont val="Arial"/>
        <family val="0"/>
        <charset val="1"/>
      </rPr>
      <t xml:space="preserve">M5Stack U137</t>
    </r>
    <r>
      <rPr>
        <sz val="11"/>
        <rFont val="Noto Sans CJK SC"/>
        <family val="2"/>
      </rPr>
      <t xml:space="preserve">）</t>
    </r>
  </si>
  <si>
    <r>
      <rPr>
        <sz val="11"/>
        <rFont val="Arial"/>
        <family val="0"/>
        <charset val="1"/>
      </rPr>
      <t xml:space="preserve">Wi-Fi </t>
    </r>
    <r>
      <rPr>
        <sz val="11"/>
        <rFont val="Noto Sans CJK SC"/>
        <family val="2"/>
      </rPr>
      <t xml:space="preserve">收不到的路段（</t>
    </r>
    <r>
      <rPr>
        <sz val="11"/>
        <rFont val="Arial"/>
        <family val="0"/>
        <charset val="1"/>
      </rPr>
      <t xml:space="preserve">Challenge 4</t>
    </r>
    <r>
      <rPr>
        <sz val="11"/>
        <rFont val="Noto Sans CJK SC"/>
        <family val="2"/>
      </rPr>
      <t xml:space="preserve">）</t>
    </r>
  </si>
  <si>
    <r>
      <rPr>
        <sz val="11"/>
        <rFont val="Noto Sans CJK SC"/>
        <family val="2"/>
      </rPr>
      <t xml:space="preserve">支援 </t>
    </r>
    <r>
      <rPr>
        <sz val="11"/>
        <rFont val="Arial"/>
        <family val="0"/>
        <charset val="1"/>
      </rPr>
      <t xml:space="preserve">B8/B28</t>
    </r>
    <r>
      <rPr>
        <sz val="11"/>
        <rFont val="Noto Sans CJK SC"/>
        <family val="2"/>
      </rPr>
      <t xml:space="preserve">；另需電信 </t>
    </r>
    <r>
      <rPr>
        <sz val="11"/>
        <rFont val="Arial"/>
        <family val="0"/>
        <charset val="1"/>
      </rPr>
      <t xml:space="preserve">NB-IoT </t>
    </r>
    <r>
      <rPr>
        <sz val="11"/>
        <rFont val="Noto Sans CJK SC"/>
        <family val="2"/>
      </rPr>
      <t xml:space="preserve">門號（月租另計，未列入）。</t>
    </r>
    <r>
      <rPr>
        <sz val="11"/>
        <rFont val="Arial"/>
        <family val="0"/>
        <charset val="1"/>
      </rPr>
      <t xml:space="preserve">Waveshare Pico </t>
    </r>
    <r>
      <rPr>
        <sz val="11"/>
        <rFont val="Noto Sans CJK SC"/>
        <family val="2"/>
      </rPr>
      <t xml:space="preserve">版只吃 </t>
    </r>
    <r>
      <rPr>
        <sz val="11"/>
        <rFont val="Arial"/>
        <family val="0"/>
        <charset val="1"/>
      </rPr>
      <t xml:space="preserve">1.8V SIM</t>
    </r>
  </si>
  <si>
    <r>
      <rPr>
        <b val="true"/>
        <sz val="11"/>
        <rFont val="Arial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開發與安裝（一次性）</t>
    </r>
  </si>
  <si>
    <t xml:space="preserve">D</t>
  </si>
  <si>
    <t xml:space="preserve">測試用垃圾桶</t>
  </si>
  <si>
    <r>
      <rPr>
        <sz val="11"/>
        <rFont val="Arial"/>
        <family val="0"/>
        <charset val="1"/>
      </rPr>
      <t xml:space="preserve">60 L </t>
    </r>
    <r>
      <rPr>
        <sz val="11"/>
        <rFont val="Noto Sans CJK SC"/>
        <family val="2"/>
      </rPr>
      <t xml:space="preserve">戶外型垃圾桶</t>
    </r>
  </si>
  <si>
    <r>
      <rPr>
        <sz val="11"/>
        <rFont val="Arial"/>
        <family val="0"/>
        <charset val="1"/>
      </rPr>
      <t xml:space="preserve">Demo </t>
    </r>
    <r>
      <rPr>
        <sz val="11"/>
        <rFont val="Noto Sans CJK SC"/>
        <family val="2"/>
      </rPr>
      <t xml:space="preserve">實桶</t>
    </r>
  </si>
  <si>
    <t xml:space="preserve">有現成可省</t>
  </si>
  <si>
    <t xml:space="preserve">麵包板與杜邦線</t>
  </si>
  <si>
    <r>
      <rPr>
        <sz val="11"/>
        <rFont val="Noto Sans CJK SC"/>
        <family val="2"/>
      </rPr>
      <t xml:space="preserve">全尺寸麵包板 </t>
    </r>
    <r>
      <rPr>
        <sz val="11"/>
        <rFont val="Arial"/>
        <family val="0"/>
        <charset val="1"/>
      </rPr>
      <t xml:space="preserve">+ </t>
    </r>
    <r>
      <rPr>
        <sz val="11"/>
        <rFont val="Noto Sans CJK SC"/>
        <family val="2"/>
      </rPr>
      <t xml:space="preserve">公母杜邦線組</t>
    </r>
  </si>
  <si>
    <t xml:space="preserve">原型接線</t>
  </si>
  <si>
    <t xml:space="preserve">線材</t>
  </si>
  <si>
    <r>
      <rPr>
        <sz val="11"/>
        <rFont val="Arial"/>
        <family val="0"/>
        <charset val="1"/>
      </rPr>
      <t xml:space="preserve">USB-C </t>
    </r>
    <r>
      <rPr>
        <sz val="11"/>
        <rFont val="Noto Sans CJK SC"/>
        <family val="2"/>
      </rPr>
      <t xml:space="preserve">傳輸線 </t>
    </r>
    <r>
      <rPr>
        <sz val="11"/>
        <rFont val="Arial"/>
        <family val="0"/>
        <charset val="1"/>
      </rPr>
      <t xml:space="preserve">×2</t>
    </r>
  </si>
  <si>
    <r>
      <rPr>
        <sz val="11"/>
        <rFont val="Noto Sans CJK SC"/>
        <family val="2"/>
      </rPr>
      <t xml:space="preserve">燒錄 </t>
    </r>
    <r>
      <rPr>
        <sz val="11"/>
        <rFont val="Arial"/>
        <family val="0"/>
        <charset val="1"/>
      </rPr>
      <t xml:space="preserve">XIAO</t>
    </r>
  </si>
  <si>
    <t xml:space="preserve">安裝耗材</t>
  </si>
  <si>
    <t xml:space="preserve">不鏽鋼束帶、熱縮管、防水膠</t>
  </si>
  <si>
    <t xml:space="preserve">固定與防水</t>
  </si>
  <si>
    <t xml:space="preserve">伺服器</t>
  </si>
  <si>
    <r>
      <rPr>
        <sz val="11"/>
        <rFont val="Noto Sans CJK SC"/>
        <family val="2"/>
      </rPr>
      <t xml:space="preserve">後端 </t>
    </r>
    <r>
      <rPr>
        <sz val="11"/>
        <rFont val="Arial"/>
        <family val="0"/>
        <charset val="1"/>
      </rPr>
      <t xml:space="preserve">+ MQTT</t>
    </r>
    <r>
      <rPr>
        <sz val="11"/>
        <rFont val="Noto Sans CJK SC"/>
        <family val="2"/>
      </rPr>
      <t xml:space="preserve">（</t>
    </r>
    <r>
      <rPr>
        <sz val="11"/>
        <rFont val="Arial"/>
        <family val="0"/>
        <charset val="1"/>
      </rPr>
      <t xml:space="preserve">Docker</t>
    </r>
    <r>
      <rPr>
        <sz val="11"/>
        <rFont val="Noto Sans CJK SC"/>
        <family val="2"/>
      </rPr>
      <t xml:space="preserve">）</t>
    </r>
  </si>
  <si>
    <t xml:space="preserve">資料收集、派車、市民地圖</t>
  </si>
  <si>
    <r>
      <rPr>
        <sz val="11"/>
        <rFont val="Noto Sans CJK SC"/>
        <family val="2"/>
      </rPr>
      <t xml:space="preserve">用自有主機或 </t>
    </r>
    <r>
      <rPr>
        <sz val="11"/>
        <rFont val="Arial"/>
        <family val="0"/>
        <charset val="1"/>
      </rPr>
      <t xml:space="preserve">VM</t>
    </r>
    <r>
      <rPr>
        <sz val="11"/>
        <rFont val="Noto Sans CJK SC"/>
        <family val="2"/>
      </rPr>
      <t xml:space="preserve">，不需另購</t>
    </r>
  </si>
  <si>
    <t xml:space="preserve">必要項目合計</t>
  </si>
  <si>
    <t xml:space="preserve">選配項目合計</t>
  </si>
  <si>
    <t xml:space="preserve">全部合計</t>
  </si>
  <si>
    <r>
      <rPr>
        <sz val="9"/>
        <color rgb="FF555555"/>
        <rFont val="Noto Sans CJK SC"/>
        <family val="2"/>
      </rPr>
      <t xml:space="preserve">說明：改黃底套數即自動重算；改 </t>
    </r>
    <r>
      <rPr>
        <sz val="9"/>
        <color rgb="FF555555"/>
        <rFont val="Arial"/>
        <family val="0"/>
        <charset val="1"/>
      </rPr>
      <t xml:space="preserve">J </t>
    </r>
    <r>
      <rPr>
        <sz val="9"/>
        <color rgb="FF555555"/>
        <rFont val="Noto Sans CJK SC"/>
        <family val="2"/>
      </rPr>
      <t xml:space="preserve">欄「必要</t>
    </r>
    <r>
      <rPr>
        <sz val="9"/>
        <color rgb="FF555555"/>
        <rFont val="Arial"/>
        <family val="0"/>
        <charset val="1"/>
      </rPr>
      <t xml:space="preserve">/</t>
    </r>
    <r>
      <rPr>
        <sz val="9"/>
        <color rgb="FF555555"/>
        <rFont val="Noto Sans CJK SC"/>
        <family val="2"/>
      </rPr>
      <t xml:space="preserve">選配」會改變合計歸類。</t>
    </r>
  </si>
  <si>
    <r>
      <rPr>
        <b val="true"/>
        <sz val="11"/>
        <color rgb="FFFFFFFF"/>
        <rFont val="Noto Sans CJK SC"/>
        <family val="2"/>
      </rPr>
      <t xml:space="preserve">簡報 </t>
    </r>
    <r>
      <rPr>
        <b val="true"/>
        <sz val="11"/>
        <color rgb="FFFFFFFF"/>
        <rFont val="Arial"/>
        <family val="0"/>
        <charset val="1"/>
      </rPr>
      <t xml:space="preserve">p.38 </t>
    </r>
    <r>
      <rPr>
        <b val="true"/>
        <sz val="11"/>
        <color rgb="FFFFFFFF"/>
        <rFont val="Noto Sans CJK SC"/>
        <family val="2"/>
      </rPr>
      <t xml:space="preserve">感測器</t>
    </r>
  </si>
  <si>
    <t xml:space="preserve">採用方式</t>
  </si>
  <si>
    <t xml:space="preserve">理由</t>
  </si>
  <si>
    <t xml:space="preserve">01 Ultrasonic Sensor</t>
  </si>
  <si>
    <r>
      <rPr>
        <sz val="11"/>
        <rFont val="Noto Sans CJK SC"/>
        <family val="2"/>
      </rPr>
      <t xml:space="preserve">改用 </t>
    </r>
    <r>
      <rPr>
        <sz val="11"/>
        <rFont val="Arial"/>
        <family val="0"/>
        <charset val="1"/>
      </rPr>
      <t xml:space="preserve">VL53L1X ToF</t>
    </r>
  </si>
  <si>
    <r>
      <rPr>
        <sz val="11"/>
        <rFont val="Noto Sans CJK SC"/>
        <family val="2"/>
      </rPr>
      <t xml:space="preserve">超音波波束寬、遇軟袋</t>
    </r>
    <r>
      <rPr>
        <sz val="11"/>
        <rFont val="Arial"/>
        <family val="0"/>
        <charset val="1"/>
      </rPr>
      <t xml:space="preserve">/</t>
    </r>
    <r>
      <rPr>
        <sz val="11"/>
        <rFont val="Noto Sans CJK SC"/>
        <family val="2"/>
      </rPr>
      <t xml:space="preserve">斜面易誤判，且在桶內回音多；</t>
    </r>
    <r>
      <rPr>
        <sz val="11"/>
        <rFont val="Arial"/>
        <family val="0"/>
        <charset val="1"/>
      </rPr>
      <t xml:space="preserve">ToF </t>
    </r>
    <r>
      <rPr>
        <sz val="11"/>
        <rFont val="Noto Sans CJK SC"/>
        <family val="2"/>
      </rPr>
      <t xml:space="preserve">可縮小視角、精度到 </t>
    </r>
    <r>
      <rPr>
        <sz val="11"/>
        <rFont val="Arial"/>
        <family val="0"/>
        <charset val="1"/>
      </rPr>
      <t xml:space="preserve">mm</t>
    </r>
  </si>
  <si>
    <t xml:space="preserve">02 Gas / Air Quality</t>
  </si>
  <si>
    <r>
      <rPr>
        <sz val="11"/>
        <rFont val="Noto Sans CJK SC"/>
        <family val="2"/>
      </rPr>
      <t xml:space="preserve">選配 </t>
    </r>
    <r>
      <rPr>
        <sz val="11"/>
        <rFont val="Arial"/>
        <family val="0"/>
        <charset val="1"/>
      </rPr>
      <t xml:space="preserve">BME680</t>
    </r>
  </si>
  <si>
    <t xml:space="preserve">只影響衛生研究，不影響滿溢或派車決策</t>
  </si>
  <si>
    <t xml:space="preserve">03 Weight Sensor</t>
  </si>
  <si>
    <r>
      <rPr>
        <sz val="11"/>
        <rFont val="Noto Sans CJK SC"/>
        <family val="2"/>
      </rPr>
      <t xml:space="preserve">選配 </t>
    </r>
    <r>
      <rPr>
        <sz val="11"/>
        <rFont val="Arial"/>
        <family val="0"/>
        <charset val="1"/>
      </rPr>
      <t xml:space="preserve">HX711 + </t>
    </r>
    <r>
      <rPr>
        <sz val="11"/>
        <rFont val="Noto Sans CJK SC"/>
        <family val="2"/>
      </rPr>
      <t xml:space="preserve">荷重元</t>
    </r>
  </si>
  <si>
    <r>
      <rPr>
        <sz val="11"/>
        <rFont val="Noto Sans CJK SC"/>
        <family val="2"/>
      </rPr>
      <t xml:space="preserve">與 </t>
    </r>
    <r>
      <rPr>
        <sz val="11"/>
        <rFont val="Arial"/>
        <family val="0"/>
        <charset val="1"/>
      </rPr>
      <t xml:space="preserve">ToF </t>
    </r>
    <r>
      <rPr>
        <sz val="11"/>
        <rFont val="Noto Sans CJK SC"/>
        <family val="2"/>
      </rPr>
      <t xml:space="preserve">融合可分辨「大但輕的紙箱」與「真的滿」，第二階段再上</t>
    </r>
  </si>
  <si>
    <t xml:space="preserve">04 Temperature</t>
  </si>
  <si>
    <r>
      <rPr>
        <sz val="11"/>
        <rFont val="Arial"/>
        <family val="0"/>
        <charset val="1"/>
      </rPr>
      <t xml:space="preserve">BME680 </t>
    </r>
    <r>
      <rPr>
        <sz val="11"/>
        <rFont val="Noto Sans CJK SC"/>
        <family val="2"/>
      </rPr>
      <t xml:space="preserve">內含</t>
    </r>
  </si>
  <si>
    <t xml:space="preserve">同上</t>
  </si>
  <si>
    <t xml:space="preserve">05 Humidity</t>
  </si>
  <si>
    <t xml:space="preserve">06 Smoke / Flame</t>
  </si>
  <si>
    <r>
      <rPr>
        <sz val="11"/>
        <rFont val="Noto Sans CJK SC"/>
        <family val="2"/>
      </rPr>
      <t xml:space="preserve">選配 </t>
    </r>
    <r>
      <rPr>
        <sz val="11"/>
        <rFont val="Arial"/>
        <family val="0"/>
        <charset val="1"/>
      </rPr>
      <t xml:space="preserve">MQ-2 / </t>
    </r>
    <r>
      <rPr>
        <sz val="11"/>
        <rFont val="Noto Sans CJK SC"/>
        <family val="2"/>
      </rPr>
      <t xml:space="preserve">火焰</t>
    </r>
  </si>
  <si>
    <t xml:space="preserve">只在吸菸熱點需要</t>
  </si>
  <si>
    <t xml:space="preserve">07 Camera</t>
  </si>
  <si>
    <r>
      <rPr>
        <sz val="11"/>
        <rFont val="Noto Sans CJK SC"/>
        <family val="2"/>
      </rPr>
      <t xml:space="preserve">採用 </t>
    </r>
    <r>
      <rPr>
        <sz val="11"/>
        <rFont val="Arial"/>
        <family val="0"/>
        <charset val="1"/>
      </rPr>
      <t xml:space="preserve">Pi AI Camera</t>
    </r>
    <r>
      <rPr>
        <sz val="11"/>
        <rFont val="Noto Sans CJK SC"/>
        <family val="2"/>
      </rPr>
      <t xml:space="preserve">（</t>
    </r>
    <r>
      <rPr>
        <sz val="11"/>
        <rFont val="Arial"/>
        <family val="0"/>
        <charset val="1"/>
      </rPr>
      <t xml:space="preserve">IMX500</t>
    </r>
    <r>
      <rPr>
        <sz val="11"/>
        <rFont val="Noto Sans CJK SC"/>
        <family val="2"/>
      </rPr>
      <t xml:space="preserve">）</t>
    </r>
  </si>
  <si>
    <t xml:space="preserve">推論在攝影機晶片上做，只上傳事件不上傳影像，兼顧隱私與頻寬</t>
  </si>
  <si>
    <t xml:space="preserve">08 GPS Module</t>
  </si>
  <si>
    <t xml:space="preserve">不採用</t>
  </si>
  <si>
    <r>
      <rPr>
        <sz val="11"/>
        <rFont val="Noto Sans CJK SC"/>
        <family val="2"/>
      </rPr>
      <t xml:space="preserve">公共垃圾桶位置固定，註冊時登錄座標即可；省電省錢。活動用移動桶才需要（</t>
    </r>
    <r>
      <rPr>
        <sz val="11"/>
        <rFont val="Arial"/>
        <family val="0"/>
        <charset val="1"/>
      </rPr>
      <t xml:space="preserve">SIM7080G </t>
    </r>
    <r>
      <rPr>
        <sz val="11"/>
        <rFont val="Noto Sans CJK SC"/>
        <family val="2"/>
      </rPr>
      <t xml:space="preserve">內建 </t>
    </r>
    <r>
      <rPr>
        <sz val="11"/>
        <rFont val="Arial"/>
        <family val="0"/>
        <charset val="1"/>
      </rPr>
      <t xml:space="preserve">GNSS </t>
    </r>
    <r>
      <rPr>
        <sz val="11"/>
        <rFont val="Noto Sans CJK SC"/>
        <family val="2"/>
      </rPr>
      <t xml:space="preserve">可兼顧）</t>
    </r>
  </si>
  <si>
    <t xml:space="preserve">09 Proximity Sensor</t>
  </si>
  <si>
    <t xml:space="preserve">投入口是否有物品、有沒有手，由攝影機判斷（也負責防夾）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</si>
</sst>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&quot;NT$&quot;#,##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Noto Sans CJK SC"/>
      <family val="2"/>
    </font>
    <font>
      <b val="true"/>
      <sz val="14"/>
      <name val="Arial"/>
      <family val="0"/>
      <charset val="1"/>
    </font>
    <font>
      <sz val="9"/>
      <color rgb="FF555555"/>
      <name val="Noto Sans CJK SC"/>
      <family val="2"/>
    </font>
    <font>
      <sz val="9"/>
      <color rgb="FF555555"/>
      <name val="Arial"/>
      <family val="0"/>
      <charset val="1"/>
    </font>
    <font>
      <b val="true"/>
      <sz val="11"/>
      <name val="Noto Sans CJK SC"/>
      <family val="2"/>
    </font>
    <font>
      <sz val="11"/>
      <color rgb="FF0000FF"/>
      <name val="Arial"/>
      <family val="0"/>
      <charset val="1"/>
    </font>
    <font>
      <b val="true"/>
      <sz val="11"/>
      <color rgb="FFFFFFFF"/>
      <name val="Noto Sans CJK SC"/>
      <family val="2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name val="Noto Sans CJK SC"/>
      <family val="2"/>
    </font>
    <font>
      <sz val="11"/>
      <color rgb="FF0000FF"/>
      <name val="Noto Sans CJK SC"/>
      <family val="2"/>
    </font>
    <font>
      <sz val="10"/>
      <name val="Noto Sans CJK SC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6F4A"/>
        <bgColor rgb="FF008080"/>
      </patternFill>
    </fill>
    <fill>
      <patternFill patternType="solid">
        <fgColor rgb="FFE3F0E8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F4A"/>
      <rgbColor rgb="FFC0C0C0"/>
      <rgbColor rgb="FF808080"/>
      <rgbColor rgb="FF9999FF"/>
      <rgbColor rgb="FF993366"/>
      <rgbColor rgb="FFFFFFCC"/>
      <rgbColor rgb="FFE3F0E8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4" min="3" style="0" width="34"/>
    <col collapsed="false" customWidth="true" hidden="false" outlineLevel="0" max="5" min="5" style="0" width="9"/>
    <col collapsed="false" customWidth="true" hidden="false" outlineLevel="0" max="6" min="6" style="0" width="7"/>
    <col collapsed="false" customWidth="true" hidden="false" outlineLevel="0" max="7" min="7" style="0" width="9"/>
    <col collapsed="false" customWidth="true" hidden="false" outlineLevel="0" max="8" min="8" style="0" width="11"/>
    <col collapsed="false" customWidth="true" hidden="false" outlineLevel="0" max="9" min="9" style="0" width="12"/>
    <col collapsed="false" customWidth="true" hidden="false" outlineLevel="0" max="10" min="10" style="0" width="8"/>
    <col collapsed="false" customWidth="true" hidden="false" outlineLevel="0" max="11" min="11" style="0" width="46"/>
  </cols>
  <sheetData>
    <row r="1" customFormat="false" ht="21.6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C4" s="4" t="n">
        <v>3</v>
      </c>
      <c r="D4" s="2" t="s">
        <v>3</v>
      </c>
    </row>
    <row r="5" customFormat="false" ht="15" hidden="false" customHeight="false" outlineLevel="0" collapsed="false">
      <c r="A5" s="3" t="s">
        <v>4</v>
      </c>
      <c r="C5" s="4" t="n">
        <v>1</v>
      </c>
    </row>
    <row r="7" customFormat="false" ht="17.15" hidden="false" customHeight="false" outlineLevel="0" collapsed="false">
      <c r="A7" s="5" t="s">
        <v>5</v>
      </c>
      <c r="B7" s="5" t="s">
        <v>6</v>
      </c>
      <c r="C7" s="5" t="s">
        <v>7</v>
      </c>
      <c r="D7" s="5" t="s">
        <v>8</v>
      </c>
      <c r="E7" s="5" t="s">
        <v>9</v>
      </c>
      <c r="F7" s="5" t="s">
        <v>10</v>
      </c>
      <c r="G7" s="5" t="s">
        <v>11</v>
      </c>
      <c r="H7" s="5" t="s">
        <v>12</v>
      </c>
      <c r="I7" s="5" t="s">
        <v>13</v>
      </c>
      <c r="J7" s="5" t="s">
        <v>14</v>
      </c>
      <c r="K7" s="5" t="s">
        <v>15</v>
      </c>
    </row>
    <row r="8" customFormat="false" ht="17.15" hidden="false" customHeight="false" outlineLevel="0" collapsed="false">
      <c r="A8" s="6" t="s">
        <v>16</v>
      </c>
      <c r="B8" s="7"/>
      <c r="C8" s="7"/>
      <c r="D8" s="7"/>
      <c r="E8" s="7"/>
      <c r="F8" s="7"/>
      <c r="G8" s="7"/>
      <c r="H8" s="7"/>
      <c r="I8" s="7"/>
      <c r="J8" s="7"/>
      <c r="K8" s="7"/>
    </row>
    <row r="9" customFormat="false" ht="32.8" hidden="false" customHeight="false" outlineLevel="0" collapsed="false">
      <c r="A9" s="8" t="s">
        <v>17</v>
      </c>
      <c r="B9" s="9" t="s">
        <v>18</v>
      </c>
      <c r="C9" s="8" t="s">
        <v>19</v>
      </c>
      <c r="D9" s="8" t="s">
        <v>20</v>
      </c>
      <c r="E9" s="10" t="n">
        <v>1</v>
      </c>
      <c r="F9" s="8" t="n">
        <f aca="false">$C$4</f>
        <v>3</v>
      </c>
      <c r="G9" s="8" t="n">
        <f aca="false">E9*F9</f>
        <v>3</v>
      </c>
      <c r="H9" s="11" t="n">
        <v>220</v>
      </c>
      <c r="I9" s="12" t="n">
        <f aca="false">G9*H9</f>
        <v>660</v>
      </c>
      <c r="J9" s="13" t="s">
        <v>21</v>
      </c>
      <c r="K9" s="9" t="s">
        <v>22</v>
      </c>
    </row>
    <row r="10" customFormat="false" ht="48.5" hidden="false" customHeight="false" outlineLevel="0" collapsed="false">
      <c r="A10" s="8" t="s">
        <v>17</v>
      </c>
      <c r="B10" s="9" t="s">
        <v>23</v>
      </c>
      <c r="C10" s="8" t="s">
        <v>24</v>
      </c>
      <c r="D10" s="9" t="s">
        <v>25</v>
      </c>
      <c r="E10" s="10" t="n">
        <v>1</v>
      </c>
      <c r="F10" s="8" t="n">
        <f aca="false">$C$4</f>
        <v>3</v>
      </c>
      <c r="G10" s="8" t="n">
        <f aca="false">E10*F10</f>
        <v>3</v>
      </c>
      <c r="H10" s="11" t="n">
        <v>280</v>
      </c>
      <c r="I10" s="12" t="n">
        <f aca="false">G10*H10</f>
        <v>840</v>
      </c>
      <c r="J10" s="13" t="s">
        <v>21</v>
      </c>
      <c r="K10" s="9" t="s">
        <v>26</v>
      </c>
    </row>
    <row r="11" customFormat="false" ht="32.8" hidden="false" customHeight="false" outlineLevel="0" collapsed="false">
      <c r="A11" s="8" t="s">
        <v>17</v>
      </c>
      <c r="B11" s="9" t="s">
        <v>27</v>
      </c>
      <c r="C11" s="8" t="s">
        <v>28</v>
      </c>
      <c r="D11" s="9" t="s">
        <v>29</v>
      </c>
      <c r="E11" s="10" t="n">
        <v>2</v>
      </c>
      <c r="F11" s="8" t="n">
        <f aca="false">$C$4</f>
        <v>3</v>
      </c>
      <c r="G11" s="8" t="n">
        <f aca="false">E11*F11</f>
        <v>6</v>
      </c>
      <c r="H11" s="11" t="n">
        <v>150</v>
      </c>
      <c r="I11" s="12" t="n">
        <f aca="false">G11*H11</f>
        <v>900</v>
      </c>
      <c r="J11" s="13" t="s">
        <v>21</v>
      </c>
      <c r="K11" s="9" t="s">
        <v>30</v>
      </c>
    </row>
    <row r="12" customFormat="false" ht="17.15" hidden="false" customHeight="false" outlineLevel="0" collapsed="false">
      <c r="A12" s="8" t="s">
        <v>17</v>
      </c>
      <c r="B12" s="9" t="s">
        <v>31</v>
      </c>
      <c r="C12" s="8" t="s">
        <v>32</v>
      </c>
      <c r="D12" s="9" t="s">
        <v>33</v>
      </c>
      <c r="E12" s="10" t="n">
        <v>1</v>
      </c>
      <c r="F12" s="8" t="n">
        <f aca="false">$C$4</f>
        <v>3</v>
      </c>
      <c r="G12" s="8" t="n">
        <f aca="false">E12*F12</f>
        <v>3</v>
      </c>
      <c r="H12" s="11" t="n">
        <v>60</v>
      </c>
      <c r="I12" s="12" t="n">
        <f aca="false">G12*H12</f>
        <v>180</v>
      </c>
      <c r="J12" s="13" t="s">
        <v>21</v>
      </c>
      <c r="K12" s="8"/>
    </row>
    <row r="13" customFormat="false" ht="17.15" hidden="false" customHeight="false" outlineLevel="0" collapsed="false">
      <c r="A13" s="8" t="s">
        <v>17</v>
      </c>
      <c r="B13" s="9" t="s">
        <v>34</v>
      </c>
      <c r="C13" s="8" t="s">
        <v>35</v>
      </c>
      <c r="D13" s="9" t="s">
        <v>36</v>
      </c>
      <c r="E13" s="10" t="n">
        <v>1</v>
      </c>
      <c r="F13" s="8" t="n">
        <f aca="false">$C$4</f>
        <v>3</v>
      </c>
      <c r="G13" s="8" t="n">
        <f aca="false">E13*F13</f>
        <v>3</v>
      </c>
      <c r="H13" s="11" t="n">
        <v>90</v>
      </c>
      <c r="I13" s="12" t="n">
        <f aca="false">G13*H13</f>
        <v>270</v>
      </c>
      <c r="J13" s="13" t="s">
        <v>21</v>
      </c>
      <c r="K13" s="8"/>
    </row>
    <row r="14" customFormat="false" ht="17.15" hidden="false" customHeight="false" outlineLevel="0" collapsed="false">
      <c r="A14" s="8" t="s">
        <v>17</v>
      </c>
      <c r="B14" s="9" t="s">
        <v>37</v>
      </c>
      <c r="C14" s="8" t="s">
        <v>38</v>
      </c>
      <c r="D14" s="9" t="s">
        <v>39</v>
      </c>
      <c r="E14" s="10" t="n">
        <v>1</v>
      </c>
      <c r="F14" s="8" t="n">
        <f aca="false">$C$4</f>
        <v>3</v>
      </c>
      <c r="G14" s="8" t="n">
        <f aca="false">E14*F14</f>
        <v>3</v>
      </c>
      <c r="H14" s="11" t="n">
        <v>50</v>
      </c>
      <c r="I14" s="12" t="n">
        <f aca="false">G14*H14</f>
        <v>150</v>
      </c>
      <c r="J14" s="13" t="s">
        <v>21</v>
      </c>
      <c r="K14" s="9" t="s">
        <v>40</v>
      </c>
    </row>
    <row r="15" customFormat="false" ht="32.8" hidden="false" customHeight="false" outlineLevel="0" collapsed="false">
      <c r="A15" s="8" t="s">
        <v>17</v>
      </c>
      <c r="B15" s="9" t="s">
        <v>41</v>
      </c>
      <c r="C15" s="8" t="s">
        <v>42</v>
      </c>
      <c r="D15" s="9" t="s">
        <v>43</v>
      </c>
      <c r="E15" s="10" t="n">
        <v>1</v>
      </c>
      <c r="F15" s="8" t="n">
        <f aca="false">$C$4</f>
        <v>3</v>
      </c>
      <c r="G15" s="8" t="n">
        <f aca="false">E15*F15</f>
        <v>3</v>
      </c>
      <c r="H15" s="11" t="n">
        <v>100</v>
      </c>
      <c r="I15" s="12" t="n">
        <f aca="false">G15*H15</f>
        <v>300</v>
      </c>
      <c r="J15" s="13" t="s">
        <v>21</v>
      </c>
      <c r="K15" s="9" t="s">
        <v>44</v>
      </c>
    </row>
    <row r="16" customFormat="false" ht="32.8" hidden="false" customHeight="false" outlineLevel="0" collapsed="false">
      <c r="A16" s="8" t="s">
        <v>17</v>
      </c>
      <c r="B16" s="9" t="s">
        <v>45</v>
      </c>
      <c r="C16" s="8" t="s">
        <v>46</v>
      </c>
      <c r="D16" s="9" t="s">
        <v>47</v>
      </c>
      <c r="E16" s="10" t="n">
        <v>1</v>
      </c>
      <c r="F16" s="8" t="n">
        <f aca="false">$C$4</f>
        <v>3</v>
      </c>
      <c r="G16" s="8" t="n">
        <f aca="false">E16*F16</f>
        <v>3</v>
      </c>
      <c r="H16" s="11" t="n">
        <v>60</v>
      </c>
      <c r="I16" s="12" t="n">
        <f aca="false">G16*H16</f>
        <v>180</v>
      </c>
      <c r="J16" s="13" t="s">
        <v>21</v>
      </c>
      <c r="K16" s="8"/>
    </row>
    <row r="17" customFormat="false" ht="32.8" hidden="false" customHeight="false" outlineLevel="0" collapsed="false">
      <c r="A17" s="8" t="s">
        <v>17</v>
      </c>
      <c r="B17" s="9" t="s">
        <v>48</v>
      </c>
      <c r="C17" s="8" t="s">
        <v>49</v>
      </c>
      <c r="D17" s="9" t="s">
        <v>50</v>
      </c>
      <c r="E17" s="10" t="n">
        <v>1</v>
      </c>
      <c r="F17" s="8" t="n">
        <f aca="false">$C$4</f>
        <v>3</v>
      </c>
      <c r="G17" s="8" t="n">
        <f aca="false">E17*F17</f>
        <v>3</v>
      </c>
      <c r="H17" s="11" t="n">
        <v>180</v>
      </c>
      <c r="I17" s="12" t="n">
        <f aca="false">G17*H17</f>
        <v>540</v>
      </c>
      <c r="J17" s="13" t="s">
        <v>51</v>
      </c>
      <c r="K17" s="9" t="s">
        <v>52</v>
      </c>
    </row>
    <row r="18" customFormat="false" ht="17.15" hidden="false" customHeight="false" outlineLevel="0" collapsed="false">
      <c r="A18" s="8" t="s">
        <v>17</v>
      </c>
      <c r="B18" s="9" t="s">
        <v>53</v>
      </c>
      <c r="C18" s="8" t="s">
        <v>54</v>
      </c>
      <c r="D18" s="9" t="s">
        <v>55</v>
      </c>
      <c r="E18" s="10" t="n">
        <v>1</v>
      </c>
      <c r="F18" s="8" t="n">
        <f aca="false">$C$4</f>
        <v>3</v>
      </c>
      <c r="G18" s="8" t="n">
        <f aca="false">E18*F18</f>
        <v>3</v>
      </c>
      <c r="H18" s="11" t="n">
        <v>280</v>
      </c>
      <c r="I18" s="12" t="n">
        <f aca="false">G18*H18</f>
        <v>840</v>
      </c>
      <c r="J18" s="13" t="s">
        <v>51</v>
      </c>
      <c r="K18" s="8"/>
    </row>
    <row r="19" customFormat="false" ht="17.15" hidden="false" customHeight="false" outlineLevel="0" collapsed="false">
      <c r="A19" s="8" t="s">
        <v>17</v>
      </c>
      <c r="B19" s="9" t="s">
        <v>56</v>
      </c>
      <c r="C19" s="8" t="s">
        <v>57</v>
      </c>
      <c r="D19" s="9" t="s">
        <v>58</v>
      </c>
      <c r="E19" s="10" t="n">
        <v>1</v>
      </c>
      <c r="F19" s="8" t="n">
        <f aca="false">$C$4</f>
        <v>3</v>
      </c>
      <c r="G19" s="8" t="n">
        <f aca="false">E19*F19</f>
        <v>3</v>
      </c>
      <c r="H19" s="11" t="n">
        <v>450</v>
      </c>
      <c r="I19" s="12" t="n">
        <f aca="false">G19*H19</f>
        <v>1350</v>
      </c>
      <c r="J19" s="13" t="s">
        <v>51</v>
      </c>
      <c r="K19" s="9" t="s">
        <v>59</v>
      </c>
    </row>
    <row r="20" customFormat="false" ht="17.15" hidden="false" customHeight="false" outlineLevel="0" collapsed="false">
      <c r="A20" s="8" t="s">
        <v>17</v>
      </c>
      <c r="B20" s="9" t="s">
        <v>60</v>
      </c>
      <c r="C20" s="8" t="s">
        <v>61</v>
      </c>
      <c r="D20" s="9" t="s">
        <v>62</v>
      </c>
      <c r="E20" s="10" t="n">
        <v>1</v>
      </c>
      <c r="F20" s="8" t="n">
        <f aca="false">$C$4</f>
        <v>3</v>
      </c>
      <c r="G20" s="8" t="n">
        <f aca="false">E20*F20</f>
        <v>3</v>
      </c>
      <c r="H20" s="11" t="n">
        <v>60</v>
      </c>
      <c r="I20" s="12" t="n">
        <f aca="false">G20*H20</f>
        <v>180</v>
      </c>
      <c r="J20" s="13" t="s">
        <v>51</v>
      </c>
      <c r="K20" s="9" t="s">
        <v>63</v>
      </c>
    </row>
    <row r="21" customFormat="false" ht="17.15" hidden="false" customHeight="false" outlineLevel="0" collapsed="false">
      <c r="A21" s="6" t="s">
        <v>64</v>
      </c>
      <c r="B21" s="7"/>
      <c r="C21" s="7"/>
      <c r="D21" s="7"/>
      <c r="E21" s="7"/>
      <c r="F21" s="7"/>
      <c r="G21" s="7"/>
      <c r="H21" s="7"/>
      <c r="I21" s="7"/>
      <c r="J21" s="7"/>
      <c r="K21" s="7"/>
    </row>
    <row r="22" customFormat="false" ht="32.8" hidden="false" customHeight="false" outlineLevel="0" collapsed="false">
      <c r="A22" s="8" t="s">
        <v>65</v>
      </c>
      <c r="B22" s="9" t="s">
        <v>66</v>
      </c>
      <c r="C22" s="8" t="s">
        <v>67</v>
      </c>
      <c r="D22" s="9" t="s">
        <v>68</v>
      </c>
      <c r="E22" s="10" t="n">
        <v>1</v>
      </c>
      <c r="F22" s="8" t="n">
        <f aca="false">$C$5</f>
        <v>1</v>
      </c>
      <c r="G22" s="8" t="n">
        <f aca="false">E22*F22</f>
        <v>1</v>
      </c>
      <c r="H22" s="11" t="n">
        <v>650</v>
      </c>
      <c r="I22" s="12" t="n">
        <f aca="false">G22*H22</f>
        <v>650</v>
      </c>
      <c r="J22" s="13" t="s">
        <v>21</v>
      </c>
      <c r="K22" s="9" t="s">
        <v>69</v>
      </c>
    </row>
    <row r="23" customFormat="false" ht="32.8" hidden="false" customHeight="false" outlineLevel="0" collapsed="false">
      <c r="A23" s="8" t="s">
        <v>65</v>
      </c>
      <c r="B23" s="8" t="s">
        <v>70</v>
      </c>
      <c r="C23" s="8" t="s">
        <v>71</v>
      </c>
      <c r="D23" s="9" t="s">
        <v>72</v>
      </c>
      <c r="E23" s="10" t="n">
        <v>1</v>
      </c>
      <c r="F23" s="8" t="n">
        <f aca="false">$C$5</f>
        <v>1</v>
      </c>
      <c r="G23" s="8" t="n">
        <f aca="false">E23*F23</f>
        <v>1</v>
      </c>
      <c r="H23" s="11" t="n">
        <v>2300</v>
      </c>
      <c r="I23" s="12" t="n">
        <f aca="false">G23*H23</f>
        <v>2300</v>
      </c>
      <c r="J23" s="13" t="s">
        <v>21</v>
      </c>
      <c r="K23" s="9" t="s">
        <v>73</v>
      </c>
    </row>
    <row r="24" customFormat="false" ht="17.15" hidden="false" customHeight="false" outlineLevel="0" collapsed="false">
      <c r="A24" s="8" t="s">
        <v>65</v>
      </c>
      <c r="B24" s="9" t="s">
        <v>74</v>
      </c>
      <c r="C24" s="8" t="s">
        <v>75</v>
      </c>
      <c r="D24" s="9" t="s">
        <v>76</v>
      </c>
      <c r="E24" s="10" t="n">
        <v>1</v>
      </c>
      <c r="F24" s="8" t="n">
        <f aca="false">$C$5</f>
        <v>1</v>
      </c>
      <c r="G24" s="8" t="n">
        <f aca="false">E24*F24</f>
        <v>1</v>
      </c>
      <c r="H24" s="11" t="n">
        <v>200</v>
      </c>
      <c r="I24" s="12" t="n">
        <f aca="false">G24*H24</f>
        <v>200</v>
      </c>
      <c r="J24" s="13" t="s">
        <v>21</v>
      </c>
      <c r="K24" s="8"/>
    </row>
    <row r="25" customFormat="false" ht="17.15" hidden="false" customHeight="false" outlineLevel="0" collapsed="false">
      <c r="A25" s="8" t="s">
        <v>65</v>
      </c>
      <c r="B25" s="9" t="s">
        <v>77</v>
      </c>
      <c r="C25" s="8" t="s">
        <v>78</v>
      </c>
      <c r="D25" s="9" t="s">
        <v>79</v>
      </c>
      <c r="E25" s="10" t="n">
        <v>1</v>
      </c>
      <c r="F25" s="8" t="n">
        <f aca="false">$C$5</f>
        <v>1</v>
      </c>
      <c r="G25" s="8" t="n">
        <f aca="false">E25*F25</f>
        <v>1</v>
      </c>
      <c r="H25" s="11" t="n">
        <v>120</v>
      </c>
      <c r="I25" s="12" t="n">
        <f aca="false">G25*H25</f>
        <v>120</v>
      </c>
      <c r="J25" s="13" t="s">
        <v>21</v>
      </c>
      <c r="K25" s="9" t="s">
        <v>80</v>
      </c>
    </row>
    <row r="26" customFormat="false" ht="17.15" hidden="false" customHeight="false" outlineLevel="0" collapsed="false">
      <c r="A26" s="8" t="s">
        <v>65</v>
      </c>
      <c r="B26" s="9" t="s">
        <v>81</v>
      </c>
      <c r="C26" s="9" t="s">
        <v>82</v>
      </c>
      <c r="D26" s="9" t="s">
        <v>83</v>
      </c>
      <c r="E26" s="10" t="n">
        <v>1</v>
      </c>
      <c r="F26" s="8" t="n">
        <f aca="false">$C$5</f>
        <v>1</v>
      </c>
      <c r="G26" s="8" t="n">
        <f aca="false">E26*F26</f>
        <v>1</v>
      </c>
      <c r="H26" s="11" t="n">
        <v>40</v>
      </c>
      <c r="I26" s="12" t="n">
        <f aca="false">G26*H26</f>
        <v>40</v>
      </c>
      <c r="J26" s="13" t="s">
        <v>21</v>
      </c>
      <c r="K26" s="8"/>
    </row>
    <row r="27" customFormat="false" ht="32.8" hidden="false" customHeight="false" outlineLevel="0" collapsed="false">
      <c r="A27" s="8" t="s">
        <v>65</v>
      </c>
      <c r="B27" s="9" t="s">
        <v>84</v>
      </c>
      <c r="C27" s="8" t="s">
        <v>85</v>
      </c>
      <c r="D27" s="9" t="s">
        <v>86</v>
      </c>
      <c r="E27" s="10" t="n">
        <v>1</v>
      </c>
      <c r="F27" s="8" t="n">
        <f aca="false">$C$5</f>
        <v>1</v>
      </c>
      <c r="G27" s="8" t="n">
        <f aca="false">E27*F27</f>
        <v>1</v>
      </c>
      <c r="H27" s="11" t="n">
        <v>300</v>
      </c>
      <c r="I27" s="12" t="n">
        <f aca="false">G27*H27</f>
        <v>300</v>
      </c>
      <c r="J27" s="13" t="s">
        <v>21</v>
      </c>
      <c r="K27" s="9" t="s">
        <v>87</v>
      </c>
    </row>
    <row r="28" customFormat="false" ht="17.15" hidden="false" customHeight="false" outlineLevel="0" collapsed="false">
      <c r="A28" s="8" t="s">
        <v>65</v>
      </c>
      <c r="B28" s="9" t="s">
        <v>88</v>
      </c>
      <c r="C28" s="8" t="s">
        <v>89</v>
      </c>
      <c r="D28" s="9" t="s">
        <v>90</v>
      </c>
      <c r="E28" s="10" t="n">
        <v>1</v>
      </c>
      <c r="F28" s="8" t="n">
        <f aca="false">$C$5</f>
        <v>1</v>
      </c>
      <c r="G28" s="8" t="n">
        <f aca="false">E28*F28</f>
        <v>1</v>
      </c>
      <c r="H28" s="11" t="n">
        <v>350</v>
      </c>
      <c r="I28" s="12" t="n">
        <f aca="false">G28*H28</f>
        <v>350</v>
      </c>
      <c r="J28" s="13" t="s">
        <v>21</v>
      </c>
      <c r="K28" s="8"/>
    </row>
    <row r="29" customFormat="false" ht="17.15" hidden="false" customHeight="false" outlineLevel="0" collapsed="false">
      <c r="A29" s="8" t="s">
        <v>65</v>
      </c>
      <c r="B29" s="9" t="s">
        <v>91</v>
      </c>
      <c r="C29" s="8" t="s">
        <v>92</v>
      </c>
      <c r="D29" s="9" t="s">
        <v>93</v>
      </c>
      <c r="E29" s="10" t="n">
        <v>1</v>
      </c>
      <c r="F29" s="8" t="n">
        <f aca="false">$C$5</f>
        <v>1</v>
      </c>
      <c r="G29" s="8" t="n">
        <f aca="false">E29*F29</f>
        <v>1</v>
      </c>
      <c r="H29" s="11" t="n">
        <v>50</v>
      </c>
      <c r="I29" s="12" t="n">
        <f aca="false">G29*H29</f>
        <v>50</v>
      </c>
      <c r="J29" s="13" t="s">
        <v>21</v>
      </c>
      <c r="K29" s="8"/>
    </row>
    <row r="30" customFormat="false" ht="17.15" hidden="false" customHeight="false" outlineLevel="0" collapsed="false">
      <c r="A30" s="8" t="s">
        <v>65</v>
      </c>
      <c r="B30" s="9" t="s">
        <v>94</v>
      </c>
      <c r="C30" s="9" t="s">
        <v>95</v>
      </c>
      <c r="D30" s="9" t="s">
        <v>96</v>
      </c>
      <c r="E30" s="10" t="n">
        <v>1</v>
      </c>
      <c r="F30" s="8" t="n">
        <f aca="false">$C$5</f>
        <v>1</v>
      </c>
      <c r="G30" s="8" t="n">
        <f aca="false">E30*F30</f>
        <v>1</v>
      </c>
      <c r="H30" s="11" t="n">
        <v>200</v>
      </c>
      <c r="I30" s="12" t="n">
        <f aca="false">G30*H30</f>
        <v>200</v>
      </c>
      <c r="J30" s="13" t="s">
        <v>21</v>
      </c>
      <c r="K30" s="8"/>
    </row>
    <row r="31" customFormat="false" ht="32.8" hidden="false" customHeight="false" outlineLevel="0" collapsed="false">
      <c r="A31" s="8" t="s">
        <v>65</v>
      </c>
      <c r="B31" s="9" t="s">
        <v>97</v>
      </c>
      <c r="C31" s="8" t="s">
        <v>98</v>
      </c>
      <c r="D31" s="9" t="s">
        <v>99</v>
      </c>
      <c r="E31" s="10" t="n">
        <v>1</v>
      </c>
      <c r="F31" s="8" t="n">
        <f aca="false">$C$5</f>
        <v>1</v>
      </c>
      <c r="G31" s="8" t="n">
        <f aca="false">E31*F31</f>
        <v>1</v>
      </c>
      <c r="H31" s="11" t="n">
        <v>3000</v>
      </c>
      <c r="I31" s="12" t="n">
        <f aca="false">G31*H31</f>
        <v>3000</v>
      </c>
      <c r="J31" s="13" t="s">
        <v>51</v>
      </c>
      <c r="K31" s="9" t="s">
        <v>100</v>
      </c>
    </row>
    <row r="32" customFormat="false" ht="17.15" hidden="false" customHeight="false" outlineLevel="0" collapsed="false">
      <c r="A32" s="6" t="s">
        <v>101</v>
      </c>
      <c r="B32" s="7"/>
      <c r="C32" s="7"/>
      <c r="D32" s="7"/>
      <c r="E32" s="7"/>
      <c r="F32" s="7"/>
      <c r="G32" s="7"/>
      <c r="H32" s="7"/>
      <c r="I32" s="7"/>
      <c r="J32" s="7"/>
      <c r="K32" s="7"/>
    </row>
    <row r="33" customFormat="false" ht="32.8" hidden="false" customHeight="false" outlineLevel="0" collapsed="false">
      <c r="A33" s="8" t="s">
        <v>102</v>
      </c>
      <c r="B33" s="8" t="s">
        <v>103</v>
      </c>
      <c r="C33" s="8" t="s">
        <v>104</v>
      </c>
      <c r="D33" s="8" t="s">
        <v>105</v>
      </c>
      <c r="E33" s="10" t="n">
        <v>1</v>
      </c>
      <c r="F33" s="8" t="n">
        <f aca="false">$C$4</f>
        <v>3</v>
      </c>
      <c r="G33" s="8" t="n">
        <f aca="false">E33*F33</f>
        <v>3</v>
      </c>
      <c r="H33" s="11" t="n">
        <v>1100</v>
      </c>
      <c r="I33" s="12" t="n">
        <f aca="false">G33*H33</f>
        <v>3300</v>
      </c>
      <c r="J33" s="13" t="s">
        <v>51</v>
      </c>
      <c r="K33" s="9" t="s">
        <v>106</v>
      </c>
    </row>
    <row r="34" customFormat="false" ht="17.15" hidden="false" customHeight="false" outlineLevel="0" collapsed="false">
      <c r="A34" s="6" t="s">
        <v>107</v>
      </c>
      <c r="B34" s="7"/>
      <c r="C34" s="7"/>
      <c r="D34" s="7"/>
      <c r="E34" s="7"/>
      <c r="F34" s="7"/>
      <c r="G34" s="7"/>
      <c r="H34" s="7"/>
      <c r="I34" s="7"/>
      <c r="J34" s="7"/>
      <c r="K34" s="7"/>
    </row>
    <row r="35" customFormat="false" ht="17.15" hidden="false" customHeight="false" outlineLevel="0" collapsed="false">
      <c r="A35" s="8" t="s">
        <v>108</v>
      </c>
      <c r="B35" s="9" t="s">
        <v>109</v>
      </c>
      <c r="C35" s="8" t="s">
        <v>110</v>
      </c>
      <c r="D35" s="8" t="s">
        <v>111</v>
      </c>
      <c r="E35" s="10" t="n">
        <v>1</v>
      </c>
      <c r="F35" s="8" t="n">
        <f aca="false">1</f>
        <v>1</v>
      </c>
      <c r="G35" s="8" t="n">
        <f aca="false">E35*F35</f>
        <v>1</v>
      </c>
      <c r="H35" s="11" t="n">
        <v>500</v>
      </c>
      <c r="I35" s="12" t="n">
        <f aca="false">G35*H35</f>
        <v>500</v>
      </c>
      <c r="J35" s="13" t="s">
        <v>21</v>
      </c>
      <c r="K35" s="9" t="s">
        <v>112</v>
      </c>
    </row>
    <row r="36" customFormat="false" ht="32.8" hidden="false" customHeight="false" outlineLevel="0" collapsed="false">
      <c r="A36" s="8" t="s">
        <v>108</v>
      </c>
      <c r="B36" s="9" t="s">
        <v>113</v>
      </c>
      <c r="C36" s="9" t="s">
        <v>114</v>
      </c>
      <c r="D36" s="9" t="s">
        <v>115</v>
      </c>
      <c r="E36" s="10" t="n">
        <v>1</v>
      </c>
      <c r="F36" s="8" t="n">
        <f aca="false">1</f>
        <v>1</v>
      </c>
      <c r="G36" s="8" t="n">
        <f aca="false">E36*F36</f>
        <v>1</v>
      </c>
      <c r="H36" s="11" t="n">
        <v>150</v>
      </c>
      <c r="I36" s="12" t="n">
        <f aca="false">G36*H36</f>
        <v>150</v>
      </c>
      <c r="J36" s="13" t="s">
        <v>21</v>
      </c>
      <c r="K36" s="8"/>
    </row>
    <row r="37" customFormat="false" ht="17.15" hidden="false" customHeight="false" outlineLevel="0" collapsed="false">
      <c r="A37" s="8" t="s">
        <v>108</v>
      </c>
      <c r="B37" s="9" t="s">
        <v>116</v>
      </c>
      <c r="C37" s="8" t="s">
        <v>117</v>
      </c>
      <c r="D37" s="9" t="s">
        <v>118</v>
      </c>
      <c r="E37" s="10" t="n">
        <v>1</v>
      </c>
      <c r="F37" s="8" t="n">
        <f aca="false">1</f>
        <v>1</v>
      </c>
      <c r="G37" s="8" t="n">
        <f aca="false">E37*F37</f>
        <v>1</v>
      </c>
      <c r="H37" s="11" t="n">
        <v>100</v>
      </c>
      <c r="I37" s="12" t="n">
        <f aca="false">G37*H37</f>
        <v>100</v>
      </c>
      <c r="J37" s="13" t="s">
        <v>21</v>
      </c>
      <c r="K37" s="8"/>
    </row>
    <row r="38" customFormat="false" ht="17.15" hidden="false" customHeight="false" outlineLevel="0" collapsed="false">
      <c r="A38" s="8" t="s">
        <v>108</v>
      </c>
      <c r="B38" s="9" t="s">
        <v>119</v>
      </c>
      <c r="C38" s="9" t="s">
        <v>120</v>
      </c>
      <c r="D38" s="9" t="s">
        <v>121</v>
      </c>
      <c r="E38" s="10" t="n">
        <v>1</v>
      </c>
      <c r="F38" s="8" t="n">
        <f aca="false">1</f>
        <v>1</v>
      </c>
      <c r="G38" s="8" t="n">
        <f aca="false">E38*F38</f>
        <v>1</v>
      </c>
      <c r="H38" s="11" t="n">
        <v>150</v>
      </c>
      <c r="I38" s="12" t="n">
        <f aca="false">G38*H38</f>
        <v>150</v>
      </c>
      <c r="J38" s="13" t="s">
        <v>21</v>
      </c>
      <c r="K38" s="8"/>
    </row>
    <row r="39" customFormat="false" ht="17.15" hidden="false" customHeight="false" outlineLevel="0" collapsed="false">
      <c r="A39" s="8" t="s">
        <v>108</v>
      </c>
      <c r="B39" s="9" t="s">
        <v>122</v>
      </c>
      <c r="C39" s="9" t="s">
        <v>123</v>
      </c>
      <c r="D39" s="9" t="s">
        <v>124</v>
      </c>
      <c r="E39" s="10" t="n">
        <v>1</v>
      </c>
      <c r="F39" s="8" t="n">
        <f aca="false">1</f>
        <v>1</v>
      </c>
      <c r="G39" s="8" t="n">
        <f aca="false">E39*F39</f>
        <v>1</v>
      </c>
      <c r="H39" s="11" t="n">
        <v>0</v>
      </c>
      <c r="I39" s="12" t="n">
        <f aca="false">G39*H39</f>
        <v>0</v>
      </c>
      <c r="J39" s="13" t="s">
        <v>21</v>
      </c>
      <c r="K39" s="9" t="s">
        <v>125</v>
      </c>
    </row>
    <row r="41" customFormat="false" ht="15" hidden="false" customHeight="false" outlineLevel="0" collapsed="false">
      <c r="H41" s="3" t="s">
        <v>126</v>
      </c>
      <c r="I41" s="14" t="n">
        <f aca="false">SUMIFS(I8:I39,J8:J39,"必要")</f>
        <v>8590</v>
      </c>
    </row>
    <row r="42" customFormat="false" ht="15" hidden="false" customHeight="false" outlineLevel="0" collapsed="false">
      <c r="H42" s="3" t="s">
        <v>127</v>
      </c>
      <c r="I42" s="14" t="n">
        <f aca="false">SUMIFS(I8:I39,J8:J39,"選配")</f>
        <v>9210</v>
      </c>
    </row>
    <row r="43" customFormat="false" ht="15" hidden="false" customHeight="false" outlineLevel="0" collapsed="false">
      <c r="H43" s="3" t="s">
        <v>128</v>
      </c>
      <c r="I43" s="14" t="n">
        <f aca="false">SUM(I8:I39)</f>
        <v>17800</v>
      </c>
    </row>
    <row r="45" customFormat="false" ht="15" hidden="false" customHeight="false" outlineLevel="0" collapsed="false">
      <c r="A45" s="2" t="s">
        <v>129</v>
      </c>
    </row>
  </sheetData>
  <dataValidations count="1">
    <dataValidation allowBlank="false" errorStyle="stop" operator="between" showDropDown="false" showErrorMessage="false" showInputMessage="false" sqref="J8:J39" type="list">
      <formula1>"必要,選配"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8"/>
    <col collapsed="false" customWidth="true" hidden="false" outlineLevel="0" max="3" min="3" style="0" width="70"/>
  </cols>
  <sheetData>
    <row r="1" customFormat="false" ht="17.15" hidden="false" customHeight="false" outlineLevel="0" collapsed="false">
      <c r="A1" s="15" t="s">
        <v>130</v>
      </c>
      <c r="B1" s="15" t="s">
        <v>131</v>
      </c>
      <c r="C1" s="15" t="s">
        <v>132</v>
      </c>
    </row>
    <row r="2" customFormat="false" ht="32.8" hidden="false" customHeight="false" outlineLevel="0" collapsed="false">
      <c r="A2" s="16" t="s">
        <v>133</v>
      </c>
      <c r="B2" s="17" t="s">
        <v>134</v>
      </c>
      <c r="C2" s="17" t="s">
        <v>135</v>
      </c>
    </row>
    <row r="3" customFormat="false" ht="17.15" hidden="false" customHeight="false" outlineLevel="0" collapsed="false">
      <c r="A3" s="16" t="s">
        <v>136</v>
      </c>
      <c r="B3" s="17" t="s">
        <v>137</v>
      </c>
      <c r="C3" s="17" t="s">
        <v>138</v>
      </c>
    </row>
    <row r="4" customFormat="false" ht="17.15" hidden="false" customHeight="false" outlineLevel="0" collapsed="false">
      <c r="A4" s="16" t="s">
        <v>139</v>
      </c>
      <c r="B4" s="17" t="s">
        <v>140</v>
      </c>
      <c r="C4" s="17" t="s">
        <v>141</v>
      </c>
    </row>
    <row r="5" customFormat="false" ht="17.15" hidden="false" customHeight="false" outlineLevel="0" collapsed="false">
      <c r="A5" s="16" t="s">
        <v>142</v>
      </c>
      <c r="B5" s="16" t="s">
        <v>143</v>
      </c>
      <c r="C5" s="17" t="s">
        <v>144</v>
      </c>
    </row>
    <row r="6" customFormat="false" ht="17.15" hidden="false" customHeight="false" outlineLevel="0" collapsed="false">
      <c r="A6" s="16" t="s">
        <v>145</v>
      </c>
      <c r="B6" s="16" t="s">
        <v>143</v>
      </c>
      <c r="C6" s="17" t="s">
        <v>144</v>
      </c>
    </row>
    <row r="7" customFormat="false" ht="17.15" hidden="false" customHeight="false" outlineLevel="0" collapsed="false">
      <c r="A7" s="16" t="s">
        <v>146</v>
      </c>
      <c r="B7" s="17" t="s">
        <v>147</v>
      </c>
      <c r="C7" s="17" t="s">
        <v>148</v>
      </c>
    </row>
    <row r="8" customFormat="false" ht="32.8" hidden="false" customHeight="false" outlineLevel="0" collapsed="false">
      <c r="A8" s="16" t="s">
        <v>149</v>
      </c>
      <c r="B8" s="17" t="s">
        <v>150</v>
      </c>
      <c r="C8" s="17" t="s">
        <v>151</v>
      </c>
    </row>
    <row r="9" customFormat="false" ht="32.8" hidden="false" customHeight="false" outlineLevel="0" collapsed="false">
      <c r="A9" s="16" t="s">
        <v>152</v>
      </c>
      <c r="B9" s="17" t="s">
        <v>153</v>
      </c>
      <c r="C9" s="17" t="s">
        <v>154</v>
      </c>
    </row>
    <row r="10" customFormat="false" ht="17.15" hidden="false" customHeight="false" outlineLevel="0" collapsed="false">
      <c r="A10" s="16" t="s">
        <v>155</v>
      </c>
      <c r="B10" s="17" t="s">
        <v>153</v>
      </c>
      <c r="C10" s="17" t="s">
        <v>156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2026-10-24T14:17:25Z</dcterms:created>
  <dc:creator>openpyxl</dc:creator>
  <dc:description/>
  <dc:language>en-US</dc:language>
  <cp:lastModifiedBy/>
  <dcterms:modified xsi:type="dcterms:W3CDTF">2026-10-24T14:17:25Z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